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72" windowWidth="14616" windowHeight="12120" tabRatio="688"/>
  </bookViews>
  <sheets>
    <sheet name="Control" sheetId="1" r:id="rId1"/>
    <sheet name="Contingencies" sheetId="24" r:id="rId2"/>
    <sheet name="CAOutput" sheetId="25" r:id="rId3"/>
    <sheet name="LineFlows" sheetId="21" r:id="rId4"/>
    <sheet name="TransFlows" sheetId="26" r:id="rId5"/>
    <sheet name="Buses" sheetId="10" r:id="rId6"/>
    <sheet name="Machines" sheetId="16" r:id="rId7"/>
    <sheet name="Lines" sheetId="11" r:id="rId8"/>
    <sheet name="Transformers" sheetId="12" r:id="rId9"/>
    <sheet name="Loads" sheetId="18" r:id="rId10"/>
    <sheet name="Switched Shunts" sheetId="17" r:id="rId11"/>
  </sheets>
  <calcPr calcId="145621"/>
</workbook>
</file>

<file path=xl/calcChain.xml><?xml version="1.0" encoding="utf-8"?>
<calcChain xmlns="http://schemas.openxmlformats.org/spreadsheetml/2006/main">
  <c r="H61" i="18" l="1"/>
</calcChain>
</file>

<file path=xl/sharedStrings.xml><?xml version="1.0" encoding="utf-8"?>
<sst xmlns="http://schemas.openxmlformats.org/spreadsheetml/2006/main" count="801" uniqueCount="375">
  <si>
    <t>Angle</t>
  </si>
  <si>
    <t xml:space="preserve"> </t>
  </si>
  <si>
    <t>Line Name</t>
  </si>
  <si>
    <t>From Bus Number/Name</t>
  </si>
  <si>
    <t>To Bus Number/Name</t>
  </si>
  <si>
    <t>Id</t>
  </si>
  <si>
    <t>Line R (pu)</t>
  </si>
  <si>
    <t>Line X (pu)</t>
  </si>
  <si>
    <t>Tot Charging (pu)</t>
  </si>
  <si>
    <t>In- Service</t>
  </si>
  <si>
    <t>Metered</t>
  </si>
  <si>
    <t>Rate A (MVA)</t>
  </si>
  <si>
    <t>ASH1-AMU</t>
  </si>
  <si>
    <t>ASH2-AMU</t>
  </si>
  <si>
    <t>ASH-ASH</t>
  </si>
  <si>
    <t>BAKE-AMU</t>
  </si>
  <si>
    <t>COPM-COP</t>
  </si>
  <si>
    <t>CRA1-BAK</t>
  </si>
  <si>
    <t>CRA2-BAK</t>
  </si>
  <si>
    <t>DOY1-CRA</t>
  </si>
  <si>
    <t>DOY2-CRA</t>
  </si>
  <si>
    <t>DOYL-DAW</t>
  </si>
  <si>
    <t>ELLS-DOY</t>
  </si>
  <si>
    <t>EXTL-BAK</t>
  </si>
  <si>
    <t>EXTL-FAR</t>
  </si>
  <si>
    <t>EXTL-JEN</t>
  </si>
  <si>
    <t>EXTL-LOE</t>
  </si>
  <si>
    <t>FARL-DAW</t>
  </si>
  <si>
    <t>FARL-ELL</t>
  </si>
  <si>
    <t>GRA1-FAR</t>
  </si>
  <si>
    <t>GRA2-FAR</t>
  </si>
  <si>
    <t>HOM1-GRA</t>
  </si>
  <si>
    <t>HOM2-GRA</t>
  </si>
  <si>
    <t>GRA-GRA</t>
  </si>
  <si>
    <t>JENK-HOM</t>
  </si>
  <si>
    <t>KINC-AIR</t>
  </si>
  <si>
    <t>KINC-HOM</t>
  </si>
  <si>
    <t>LOE1-ASH</t>
  </si>
  <si>
    <t>LOE2-ASH</t>
  </si>
  <si>
    <t>LOES-HOM</t>
  </si>
  <si>
    <t>LOES-JEN</t>
  </si>
  <si>
    <t>MOS1-LOE</t>
  </si>
  <si>
    <t>MOS2-LOE</t>
  </si>
  <si>
    <t>MOSE-AIR</t>
  </si>
  <si>
    <t>MOSE-HOM</t>
  </si>
  <si>
    <t>MOSE-JEN</t>
  </si>
  <si>
    <t>MOSE-KIN</t>
  </si>
  <si>
    <t>NEST-AIR</t>
  </si>
  <si>
    <t>NEST-MOS</t>
  </si>
  <si>
    <t>OAK1-AMU</t>
  </si>
  <si>
    <t>OAK1-CRA</t>
  </si>
  <si>
    <t>OAK2-AMU</t>
  </si>
  <si>
    <t>OAK2-CRA</t>
  </si>
  <si>
    <t>OAKD-MOS</t>
  </si>
  <si>
    <t>OAKD-NES</t>
  </si>
  <si>
    <t>POOL-BEA</t>
  </si>
  <si>
    <t>POOL-CHE</t>
  </si>
  <si>
    <t>RICH-BEA</t>
  </si>
  <si>
    <t>RICH-DOY</t>
  </si>
  <si>
    <t>STAN-AIR</t>
  </si>
  <si>
    <t>STAN-BEA</t>
  </si>
  <si>
    <t>STAN-COP</t>
  </si>
  <si>
    <t>STAN-MOS</t>
  </si>
  <si>
    <t>STAN-OAK</t>
  </si>
  <si>
    <t>TAU1-COP</t>
  </si>
  <si>
    <t>TAU2-COP</t>
  </si>
  <si>
    <t>TAUN-AIR</t>
  </si>
  <si>
    <t>TAUN-KIN</t>
  </si>
  <si>
    <t>UXBR-CHE</t>
  </si>
  <si>
    <t>UXBR-COPM</t>
  </si>
  <si>
    <t>VEXL-FAR</t>
  </si>
  <si>
    <t>VEXL-HOM</t>
  </si>
  <si>
    <t>WYNC-FAR</t>
  </si>
  <si>
    <t>WYNC-POO</t>
  </si>
  <si>
    <t>AIRPRT1</t>
  </si>
  <si>
    <t>BEAVER1</t>
  </si>
  <si>
    <t>CHSHAN1</t>
  </si>
  <si>
    <t>COPLEY1</t>
  </si>
  <si>
    <t>EXTRNL1</t>
  </si>
  <si>
    <t>EXTRNL2</t>
  </si>
  <si>
    <t>EXTRNL3</t>
  </si>
  <si>
    <t>EXTRNL4</t>
  </si>
  <si>
    <t>JENKIN1</t>
  </si>
  <si>
    <t>KINCAID1</t>
  </si>
  <si>
    <t>OAKDLE1</t>
  </si>
  <si>
    <t>RICTER1</t>
  </si>
  <si>
    <t>TANTON1</t>
  </si>
  <si>
    <t>UXBRDG1</t>
  </si>
  <si>
    <t>VEXLEY1</t>
  </si>
  <si>
    <t>VEXLEY2</t>
  </si>
  <si>
    <t>WYNHAM1</t>
  </si>
  <si>
    <t>Name</t>
  </si>
  <si>
    <t>Winding 1 Side</t>
  </si>
  <si>
    <t>Controlled Bus</t>
  </si>
  <si>
    <t>Controlled Side</t>
  </si>
  <si>
    <t>Tap Positions</t>
  </si>
  <si>
    <t>Control Mode</t>
  </si>
  <si>
    <t>Auto Adjust</t>
  </si>
  <si>
    <t>Winding I/O Code</t>
  </si>
  <si>
    <t>Impedance I/O Code</t>
  </si>
  <si>
    <t>Admittance I/O Code</t>
  </si>
  <si>
    <t>R (pu or watts)</t>
  </si>
  <si>
    <t>X (pu)</t>
  </si>
  <si>
    <t>Rate B (MVA)</t>
  </si>
  <si>
    <t>Rate C (MVA)</t>
  </si>
  <si>
    <t>Mag. G</t>
  </si>
  <si>
    <t>Mag. B</t>
  </si>
  <si>
    <t>Owner 1</t>
  </si>
  <si>
    <t>Fraction 1</t>
  </si>
  <si>
    <t>Owner 2</t>
  </si>
  <si>
    <t>Fraction 2</t>
  </si>
  <si>
    <t>Owner 3</t>
  </si>
  <si>
    <t>Fraction 3</t>
  </si>
  <si>
    <t>Owner 4</t>
  </si>
  <si>
    <t>Fraction 4</t>
  </si>
  <si>
    <t>Winding MVA Base</t>
  </si>
  <si>
    <t>Wnd 1 Ratio (pu or kV)</t>
  </si>
  <si>
    <t>Wnd 1 Nominal kV</t>
  </si>
  <si>
    <t>Wnd 1 Angle (degrees)</t>
  </si>
  <si>
    <t>Wnd 2 Ratio  (pu or kV)</t>
  </si>
  <si>
    <t>Wnd 2 Nominal kV</t>
  </si>
  <si>
    <t>Rmax (pu or deg)</t>
  </si>
  <si>
    <t>Rmin (pu or deg)</t>
  </si>
  <si>
    <t>Vmax (pu, MW, or MVAR)</t>
  </si>
  <si>
    <t>Vmin (pu, MW, or MVAR)</t>
  </si>
  <si>
    <t>Load Drop Comp R(pu)</t>
  </si>
  <si>
    <t>Load Drop Comp X(pu)</t>
  </si>
  <si>
    <t>Impedance Table</t>
  </si>
  <si>
    <t>R-Actual Impedance (pu)</t>
  </si>
  <si>
    <t>X-Actual Impedance (pu)</t>
  </si>
  <si>
    <t>Connect Code</t>
  </si>
  <si>
    <t>R-Ground (pu)</t>
  </si>
  <si>
    <t>X-Ground (pu)</t>
  </si>
  <si>
    <t>R-Zero (pu)</t>
  </si>
  <si>
    <t>X-Zero (pu)</t>
  </si>
  <si>
    <t>R-Ground2 (pu)</t>
  </si>
  <si>
    <t>X-Ground2 (pu)</t>
  </si>
  <si>
    <t>BAKTR 17</t>
  </si>
  <si>
    <t>None</t>
  </si>
  <si>
    <t>Turns ratio (pu)</t>
  </si>
  <si>
    <t>Zpu (system base)</t>
  </si>
  <si>
    <t>Y pu (system base)</t>
  </si>
  <si>
    <t>CRATR 30</t>
  </si>
  <si>
    <t>CRATR 35</t>
  </si>
  <si>
    <t>LOETR 67</t>
  </si>
  <si>
    <t>AMUTR 12</t>
  </si>
  <si>
    <t>HOMTR 56</t>
  </si>
  <si>
    <t>HOMTR 57</t>
  </si>
  <si>
    <t>DOYTR 39</t>
  </si>
  <si>
    <t>DOYTR 41</t>
  </si>
  <si>
    <t>FARTR 45</t>
  </si>
  <si>
    <t>FARTR 48</t>
  </si>
  <si>
    <t>JENTR 59</t>
  </si>
  <si>
    <t>KINTR 63</t>
  </si>
  <si>
    <t>MOSTR 70</t>
  </si>
  <si>
    <t>OAKTR 74</t>
  </si>
  <si>
    <t>POOTR 78</t>
  </si>
  <si>
    <t>POOTR 79</t>
  </si>
  <si>
    <t>RICTR 82</t>
  </si>
  <si>
    <t>TAUTR 84</t>
  </si>
  <si>
    <t>TAUTR 86</t>
  </si>
  <si>
    <t>UXBTR 87</t>
  </si>
  <si>
    <t>NESTR 73</t>
  </si>
  <si>
    <t>Bus Number</t>
  </si>
  <si>
    <t>Bus Name</t>
  </si>
  <si>
    <t>Base kV</t>
  </si>
  <si>
    <t>Load</t>
  </si>
  <si>
    <t>Area Number/Name</t>
  </si>
  <si>
    <t>Zone Number/Name</t>
  </si>
  <si>
    <t>Owner Number/Name</t>
  </si>
  <si>
    <t>Code</t>
  </si>
  <si>
    <t>G-Shunt (MW)</t>
  </si>
  <si>
    <t>B-Shunt (MVAR)</t>
  </si>
  <si>
    <t>Voltage (pu)</t>
  </si>
  <si>
    <t>Angle (deg)</t>
  </si>
  <si>
    <t>B-Neg (pu)</t>
  </si>
  <si>
    <t>G-Zero (pu)</t>
  </si>
  <si>
    <t>B-Zero (pu)</t>
  </si>
  <si>
    <t>Voltage</t>
  </si>
  <si>
    <t>AIRPRT2</t>
  </si>
  <si>
    <t>AIRPRT3</t>
  </si>
  <si>
    <t>AMUS1</t>
  </si>
  <si>
    <t>AMUS3</t>
  </si>
  <si>
    <t>ASH1</t>
  </si>
  <si>
    <t>ASH2</t>
  </si>
  <si>
    <t>BAKER1</t>
  </si>
  <si>
    <t>BAKER3</t>
  </si>
  <si>
    <t>BEAVER2</t>
  </si>
  <si>
    <t>CHSAN1</t>
  </si>
  <si>
    <t>CHSAN2</t>
  </si>
  <si>
    <t>COPLEY5</t>
  </si>
  <si>
    <t>COPLEY7</t>
  </si>
  <si>
    <t>COPMAN1</t>
  </si>
  <si>
    <t>CRWFRD1</t>
  </si>
  <si>
    <t>CRWFRD3</t>
  </si>
  <si>
    <t>CRWFRD4</t>
  </si>
  <si>
    <t>DAWSON1</t>
  </si>
  <si>
    <t>DOYLE1</t>
  </si>
  <si>
    <t>DOYLE3</t>
  </si>
  <si>
    <t>DOYLE4</t>
  </si>
  <si>
    <t>ELLS1</t>
  </si>
  <si>
    <t>EXTERN1</t>
  </si>
  <si>
    <t>EXTERN7</t>
  </si>
  <si>
    <t>EXTERN3</t>
  </si>
  <si>
    <t>EXTERN9</t>
  </si>
  <si>
    <t>FARLIE1</t>
  </si>
  <si>
    <t>FARLIE3</t>
  </si>
  <si>
    <t>FARLIE5</t>
  </si>
  <si>
    <t>GRANGE1</t>
  </si>
  <si>
    <t>GRANGE2</t>
  </si>
  <si>
    <t>HOMER1</t>
  </si>
  <si>
    <t>HOMER3</t>
  </si>
  <si>
    <t>HOMER4</t>
  </si>
  <si>
    <t>JENKIN3</t>
  </si>
  <si>
    <t>JENKIN4</t>
  </si>
  <si>
    <t>KINCAID2</t>
  </si>
  <si>
    <t>KINCAID3</t>
  </si>
  <si>
    <t>LOCHER1</t>
  </si>
  <si>
    <t>LOCHER3</t>
  </si>
  <si>
    <t>MOSES1</t>
  </si>
  <si>
    <t>MOSES3</t>
  </si>
  <si>
    <t>NESTLE1</t>
  </si>
  <si>
    <t>NESTLE2</t>
  </si>
  <si>
    <t>OAKDALE1</t>
  </si>
  <si>
    <t>OAKDALE3</t>
  </si>
  <si>
    <t>OAKDALE4</t>
  </si>
  <si>
    <t>POOL1</t>
  </si>
  <si>
    <t>POOL2</t>
  </si>
  <si>
    <t>POOL3</t>
  </si>
  <si>
    <t>RICTER2</t>
  </si>
  <si>
    <t>RICTER3</t>
  </si>
  <si>
    <t>STANTON1</t>
  </si>
  <si>
    <t>TANTON2</t>
  </si>
  <si>
    <t>TANTON3</t>
  </si>
  <si>
    <t>TANTON4</t>
  </si>
  <si>
    <t>UXBRDG2</t>
  </si>
  <si>
    <t>UXBRDG3</t>
  </si>
  <si>
    <t>VEXLEY3</t>
  </si>
  <si>
    <t>WYNHAM2</t>
  </si>
  <si>
    <t>Bus Number/Name</t>
  </si>
  <si>
    <t>Pgen (MW)</t>
  </si>
  <si>
    <t>Pmax (MW)</t>
  </si>
  <si>
    <t>Pmin (MW)</t>
  </si>
  <si>
    <t>Qgen (MVAR)</t>
  </si>
  <si>
    <t>Qmax (MVAR)</t>
  </si>
  <si>
    <t>Qmin (MVAR)</t>
  </si>
  <si>
    <t>Mbase (MVA)</t>
  </si>
  <si>
    <t>R Source (pu)</t>
  </si>
  <si>
    <t>X Source (pu)</t>
  </si>
  <si>
    <t>RTran (pu)</t>
  </si>
  <si>
    <t>XTran (pu)</t>
  </si>
  <si>
    <t>Gentap (pu)</t>
  </si>
  <si>
    <t>RG-Pos (pu)</t>
  </si>
  <si>
    <t>XG-Pos (pu)</t>
  </si>
  <si>
    <t>RG-Neg (pu)</t>
  </si>
  <si>
    <t>XG-Neg (pu)</t>
  </si>
  <si>
    <t>RG-Zero (pu)</t>
  </si>
  <si>
    <t>XG-Zero (pu)</t>
  </si>
  <si>
    <t>BAKER</t>
  </si>
  <si>
    <t>CRWFRD2</t>
  </si>
  <si>
    <t>LOCHER</t>
  </si>
  <si>
    <t>AMUS</t>
  </si>
  <si>
    <t>HOMER</t>
  </si>
  <si>
    <t>DOYLE</t>
  </si>
  <si>
    <t>FARLIE</t>
  </si>
  <si>
    <t>Status</t>
  </si>
  <si>
    <t>VSC Name</t>
  </si>
  <si>
    <t>Remote Bus Number</t>
  </si>
  <si>
    <t>Contributed Vars (%)</t>
  </si>
  <si>
    <t>Vhi (pu)</t>
  </si>
  <si>
    <t>Vlo (pu)</t>
  </si>
  <si>
    <t>Binit (MVAR)</t>
  </si>
  <si>
    <t>Blk 1 Steps</t>
  </si>
  <si>
    <t>Blk 1 Bstep (MVAR)</t>
  </si>
  <si>
    <t>BEAVER</t>
  </si>
  <si>
    <t>Fixed (0)</t>
  </si>
  <si>
    <t>COPMAN</t>
  </si>
  <si>
    <t>RICTER</t>
  </si>
  <si>
    <t>VEXLEY</t>
  </si>
  <si>
    <t>TANTON</t>
  </si>
  <si>
    <t>In-Service</t>
  </si>
  <si>
    <t>Pload (MW)</t>
  </si>
  <si>
    <t>Qload (MVAR)</t>
  </si>
  <si>
    <t>IPload (MW)</t>
  </si>
  <si>
    <t>IQload (MVAR)</t>
  </si>
  <si>
    <t>YPload (MW)</t>
  </si>
  <si>
    <t>YQload (MVAR)</t>
  </si>
  <si>
    <t>EXTRNL A</t>
  </si>
  <si>
    <t>EXTRNL B</t>
  </si>
  <si>
    <t>EXTRNL C</t>
  </si>
  <si>
    <t>EXTRNL D</t>
  </si>
  <si>
    <t>BAKER A</t>
  </si>
  <si>
    <t>BAKER B</t>
  </si>
  <si>
    <t>CRWFRD A</t>
  </si>
  <si>
    <t>CRWFRD B</t>
  </si>
  <si>
    <t>CRWFRD C</t>
  </si>
  <si>
    <t>LOCHER A</t>
  </si>
  <si>
    <t>LOCHER B</t>
  </si>
  <si>
    <t>AMUS A</t>
  </si>
  <si>
    <t>AMUS B</t>
  </si>
  <si>
    <t>AMUS C</t>
  </si>
  <si>
    <t>HOMER A</t>
  </si>
  <si>
    <t>HOMER B</t>
  </si>
  <si>
    <t>HOMER C</t>
  </si>
  <si>
    <t>DOYLE A</t>
  </si>
  <si>
    <t>DOYLE B</t>
  </si>
  <si>
    <t>FARLIE A</t>
  </si>
  <si>
    <t>FARLIE B</t>
  </si>
  <si>
    <t>AIRPRT A</t>
  </si>
  <si>
    <t>AIRPRT B</t>
  </si>
  <si>
    <t>ASH A</t>
  </si>
  <si>
    <t>ASH B</t>
  </si>
  <si>
    <t>BEAVER A</t>
  </si>
  <si>
    <t>CHSHAN A</t>
  </si>
  <si>
    <t>CHSHAN B</t>
  </si>
  <si>
    <t>COPLEY A</t>
  </si>
  <si>
    <t>COPLEY B</t>
  </si>
  <si>
    <t>COPLEY C</t>
  </si>
  <si>
    <t>DAWSON A</t>
  </si>
  <si>
    <t>ELLS A</t>
  </si>
  <si>
    <t>GRANGE A</t>
  </si>
  <si>
    <t>GRANGE B</t>
  </si>
  <si>
    <t>JENKIN A</t>
  </si>
  <si>
    <t>JENKIN B</t>
  </si>
  <si>
    <t>JENKIN C</t>
  </si>
  <si>
    <t>KNCAID A</t>
  </si>
  <si>
    <t>KNCAID B</t>
  </si>
  <si>
    <t>MOSES A</t>
  </si>
  <si>
    <t>MOSES B</t>
  </si>
  <si>
    <t>NESTLE A</t>
  </si>
  <si>
    <t>OAKDLE A</t>
  </si>
  <si>
    <t>OAKDLE B</t>
  </si>
  <si>
    <t>POOL A</t>
  </si>
  <si>
    <t>RICTER A</t>
  </si>
  <si>
    <t>RICTER B</t>
  </si>
  <si>
    <t>STNTON A</t>
  </si>
  <si>
    <t>TANTON A</t>
  </si>
  <si>
    <t>TANTON B</t>
  </si>
  <si>
    <t>UXBRDG A</t>
  </si>
  <si>
    <t>UXBRDG B</t>
  </si>
  <si>
    <t>VEXLEY A</t>
  </si>
  <si>
    <t>VEXLEY B</t>
  </si>
  <si>
    <t>VEXLEY C</t>
  </si>
  <si>
    <t>WYNHAM A</t>
  </si>
  <si>
    <t>WYNHAM B</t>
  </si>
  <si>
    <t>Number of Buses</t>
  </si>
  <si>
    <t>Number of Loads</t>
  </si>
  <si>
    <t>Number of Generators</t>
  </si>
  <si>
    <t>Number of Lines</t>
  </si>
  <si>
    <t>Number of Transformer</t>
  </si>
  <si>
    <t>Number of Shunts</t>
  </si>
  <si>
    <t>Bus</t>
  </si>
  <si>
    <t>G-Neg</t>
  </si>
  <si>
    <t>GRANGE</t>
  </si>
  <si>
    <t>UXBRIDGE</t>
  </si>
  <si>
    <t>GRTR</t>
  </si>
  <si>
    <t xml:space="preserve">UXBTR  </t>
  </si>
  <si>
    <t>GRANGE3</t>
  </si>
  <si>
    <t>UXBRDG4</t>
  </si>
  <si>
    <t>MW Mismatch</t>
  </si>
  <si>
    <t>MVAR Mismatch</t>
  </si>
  <si>
    <t>Pct Load pq</t>
  </si>
  <si>
    <t>Print Flag</t>
  </si>
  <si>
    <t>Number Contingencies</t>
  </si>
  <si>
    <t>Line 1</t>
  </si>
  <si>
    <t>Line 2</t>
  </si>
  <si>
    <t>Contingency</t>
  </si>
  <si>
    <t>Line Element</t>
  </si>
  <si>
    <t>Line Rating</t>
  </si>
  <si>
    <t>% Overload</t>
  </si>
  <si>
    <t>Trans Element</t>
  </si>
  <si>
    <t>Trans Rating</t>
  </si>
  <si>
    <t>High Voltage</t>
  </si>
  <si>
    <t>Low Voltage</t>
  </si>
  <si>
    <t>Max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</si>
</sst>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164" fontId="0" fillId="0" borderId="0" xfId="0" applyNumberFormat="1"/>
    <xf numFmtId="2" fontId="0" fillId="0" borderId="0" xfId="0" applyNumberFormat="1"/>
    <xf numFmtId="0" fontId="3" fillId="0" borderId="0" xfId="0" applyFont="1"/>
    <xf numFmtId="1" fontId="0" fillId="0" borderId="0" xfId="0" applyNumberFormat="1"/>
    <xf numFmtId="2" fontId="2" fillId="0" borderId="0" xfId="0" applyNumberFormat="1" applyFont="1"/>
    <xf numFmtId="1" fontId="2" fillId="0" borderId="0" xfId="0" applyNumberFormat="1" applyFont="1" applyAlignment="1">
      <alignment horizontal="center"/>
    </xf>
    <xf numFmtId="9" fontId="0" fillId="0" borderId="0" xfId="0" applyNumberFormat="1"/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1" fontId="2" fillId="0" borderId="0" xfId="0" applyNumberFormat="1" applyFont="1" applyAlignment="1">
      <alignment horizontal="center" wrapText="1"/>
    </xf>
    <xf numFmtId="9" fontId="2" fillId="0" borderId="0" xfId="0" applyNumberFormat="1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19050</xdr:rowOff>
    </xdr:from>
    <xdr:to>
      <xdr:col>6</xdr:col>
      <xdr:colOff>85725</xdr:colOff>
      <xdr:row>7</xdr:row>
      <xdr:rowOff>47625</xdr:rowOff>
    </xdr:to>
    <xdr:sp macro="[0]!PFlow" textlink="">
      <xdr:nvSpPr>
        <xdr:cNvPr id="4" name="Rectangle 3"/>
        <xdr:cNvSpPr>
          <a:spLocks noChangeArrowheads="1"/>
        </xdr:cNvSpPr>
      </xdr:nvSpPr>
      <xdr:spPr bwMode="auto">
        <a:xfrm>
          <a:off x="3838575" y="342900"/>
          <a:ext cx="1295400" cy="838200"/>
        </a:xfrm>
        <a:prstGeom prst="rect">
          <a:avLst/>
        </a:prstGeom>
        <a:solidFill>
          <a:srgbClr val="FFFF00"/>
        </a:solidFill>
        <a:ln w="57150">
          <a:solidFill>
            <a:srgbClr val="00FF00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ctr"/>
          <a:r>
            <a:rPr lang="en-US">
              <a:solidFill>
                <a:schemeClr val="accent2"/>
              </a:solidFill>
            </a:rPr>
            <a:t>Run</a:t>
          </a:r>
        </a:p>
        <a:p>
          <a:pPr algn="ctr"/>
          <a:r>
            <a:rPr lang="en-US">
              <a:solidFill>
                <a:schemeClr val="accent2"/>
              </a:solidFill>
            </a:rPr>
            <a:t>Power Flow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6</xdr:col>
      <xdr:colOff>76200</xdr:colOff>
      <xdr:row>26</xdr:row>
      <xdr:rowOff>28575</xdr:rowOff>
    </xdr:to>
    <xdr:sp macro="[0]!ContAnal" textlink="">
      <xdr:nvSpPr>
        <xdr:cNvPr id="5" name="Rectangle 4"/>
        <xdr:cNvSpPr>
          <a:spLocks noChangeArrowheads="1"/>
        </xdr:cNvSpPr>
      </xdr:nvSpPr>
      <xdr:spPr bwMode="auto">
        <a:xfrm>
          <a:off x="3829050" y="3400425"/>
          <a:ext cx="1295400" cy="838200"/>
        </a:xfrm>
        <a:prstGeom prst="rect">
          <a:avLst/>
        </a:prstGeom>
        <a:solidFill>
          <a:srgbClr val="FFFF00"/>
        </a:solidFill>
        <a:ln w="57150">
          <a:solidFill>
            <a:srgbClr val="00FF00"/>
          </a:solidFill>
          <a:miter lim="800000"/>
          <a:headEnd/>
          <a:tailEnd/>
        </a:ln>
        <a:effectLst/>
      </xdr:spPr>
      <xdr:txBody>
        <a:bodyPr wrap="square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+mn-cs"/>
            </a:defRPr>
          </a:lvl9pPr>
        </a:lstStyle>
        <a:p>
          <a:pPr algn="ctr"/>
          <a:r>
            <a:rPr lang="en-US">
              <a:solidFill>
                <a:schemeClr val="accent2"/>
              </a:solidFill>
            </a:rPr>
            <a:t>Run</a:t>
          </a:r>
        </a:p>
        <a:p>
          <a:pPr algn="ctr"/>
          <a:r>
            <a:rPr lang="en-US">
              <a:solidFill>
                <a:schemeClr val="accent2"/>
              </a:solidFill>
            </a:rPr>
            <a:t>Contingency</a:t>
          </a:r>
        </a:p>
        <a:p>
          <a:pPr algn="ctr"/>
          <a:r>
            <a:rPr lang="en-US">
              <a:solidFill>
                <a:schemeClr val="accent2"/>
              </a:solidFill>
            </a:rPr>
            <a:t>Analysis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33"/>
  <sheetViews>
    <sheetView tabSelected="1" workbookViewId="0">
      <selection activeCell="L12" sqref="L12"/>
    </sheetView>
  </sheetViews>
  <sheetFormatPr defaultRowHeight="13.2" x14ac:dyDescent="0.25"/>
  <cols>
    <col min="1" max="1" width="25.6640625" customWidth="1"/>
    <col min="2" max="2" width="13.44140625" customWidth="1"/>
  </cols>
  <sheetData>
    <row r="2" spans="1:3" x14ac:dyDescent="0.25">
      <c r="A2" t="s">
        <v>345</v>
      </c>
      <c r="B2">
        <v>72</v>
      </c>
    </row>
    <row r="3" spans="1:3" x14ac:dyDescent="0.25">
      <c r="A3" t="s">
        <v>346</v>
      </c>
      <c r="B3">
        <v>58</v>
      </c>
    </row>
    <row r="4" spans="1:3" x14ac:dyDescent="0.25">
      <c r="A4" t="s">
        <v>347</v>
      </c>
      <c r="B4">
        <v>14</v>
      </c>
    </row>
    <row r="5" spans="1:3" x14ac:dyDescent="0.25">
      <c r="A5" t="s">
        <v>348</v>
      </c>
      <c r="B5">
        <v>79</v>
      </c>
    </row>
    <row r="6" spans="1:3" x14ac:dyDescent="0.25">
      <c r="A6" t="s">
        <v>349</v>
      </c>
      <c r="B6">
        <v>24</v>
      </c>
    </row>
    <row r="7" spans="1:3" x14ac:dyDescent="0.25">
      <c r="A7" t="s">
        <v>350</v>
      </c>
      <c r="B7">
        <v>8</v>
      </c>
    </row>
    <row r="8" spans="1:3" x14ac:dyDescent="0.25">
      <c r="A8" t="s">
        <v>1</v>
      </c>
      <c r="B8" t="s">
        <v>1</v>
      </c>
    </row>
    <row r="9" spans="1:3" x14ac:dyDescent="0.25">
      <c r="A9" s="4"/>
    </row>
    <row r="10" spans="1:3" x14ac:dyDescent="0.25">
      <c r="A10" s="4"/>
    </row>
    <row r="11" spans="1:3" x14ac:dyDescent="0.25">
      <c r="A11" s="4"/>
    </row>
    <row r="13" spans="1:3" x14ac:dyDescent="0.25">
      <c r="A13" t="s">
        <v>362</v>
      </c>
      <c r="B13">
        <v>0</v>
      </c>
      <c r="C13" t="s">
        <v>1</v>
      </c>
    </row>
    <row r="14" spans="1:3" x14ac:dyDescent="0.25">
      <c r="A14" t="s">
        <v>363</v>
      </c>
      <c r="B14">
        <v>15</v>
      </c>
    </row>
    <row r="15" spans="1:3" x14ac:dyDescent="0.25">
      <c r="A15" t="s">
        <v>374</v>
      </c>
      <c r="B15">
        <v>3</v>
      </c>
    </row>
    <row r="20" spans="1:2" x14ac:dyDescent="0.25">
      <c r="A20" t="s">
        <v>359</v>
      </c>
      <c r="B20" s="2">
        <v>4.549715518951416</v>
      </c>
    </row>
    <row r="21" spans="1:2" x14ac:dyDescent="0.25">
      <c r="A21" t="s">
        <v>360</v>
      </c>
      <c r="B21" s="2">
        <v>1.1036577224731445</v>
      </c>
    </row>
    <row r="33" spans="1:1" x14ac:dyDescent="0.25">
      <c r="A33" s="4" t="s">
        <v>1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72"/>
  <sheetViews>
    <sheetView workbookViewId="0">
      <selection activeCell="B18" sqref="B18"/>
    </sheetView>
  </sheetViews>
  <sheetFormatPr defaultRowHeight="13.2" x14ac:dyDescent="0.25"/>
  <cols>
    <col min="1" max="1" width="16.109375" customWidth="1"/>
    <col min="2" max="2" width="15.88671875" customWidth="1"/>
    <col min="3" max="3" width="12.5546875" customWidth="1"/>
    <col min="4" max="4" width="14.109375" customWidth="1"/>
  </cols>
  <sheetData>
    <row r="1" spans="1:5" x14ac:dyDescent="0.25">
      <c r="A1" s="1" t="s">
        <v>364</v>
      </c>
      <c r="B1" t="s">
        <v>365</v>
      </c>
      <c r="C1" s="1"/>
      <c r="D1" s="1"/>
      <c r="E1" s="1"/>
    </row>
    <row r="2" spans="1:5" x14ac:dyDescent="0.25">
      <c r="A2" t="s">
        <v>29</v>
      </c>
      <c r="B2" t="s">
        <v>30</v>
      </c>
    </row>
    <row r="3" spans="1:5" x14ac:dyDescent="0.25">
      <c r="A3" t="s">
        <v>19</v>
      </c>
      <c r="B3" t="s">
        <v>20</v>
      </c>
    </row>
    <row r="4" spans="1:5" x14ac:dyDescent="0.25">
      <c r="A4" t="s">
        <v>17</v>
      </c>
      <c r="B4" t="s">
        <v>18</v>
      </c>
    </row>
    <row r="5" spans="1:5" x14ac:dyDescent="0.25">
      <c r="A5" t="s">
        <v>31</v>
      </c>
      <c r="B5" t="s">
        <v>32</v>
      </c>
    </row>
    <row r="6" spans="1:5" x14ac:dyDescent="0.25">
      <c r="A6" t="s">
        <v>37</v>
      </c>
      <c r="B6" t="s">
        <v>38</v>
      </c>
    </row>
    <row r="7" spans="1:5" x14ac:dyDescent="0.25">
      <c r="A7" t="s">
        <v>49</v>
      </c>
      <c r="B7" t="s">
        <v>51</v>
      </c>
    </row>
    <row r="8" spans="1:5" x14ac:dyDescent="0.25">
      <c r="A8" t="s">
        <v>50</v>
      </c>
      <c r="B8" t="s">
        <v>52</v>
      </c>
    </row>
    <row r="9" spans="1:5" x14ac:dyDescent="0.25">
      <c r="A9" t="s">
        <v>64</v>
      </c>
      <c r="B9" t="s">
        <v>65</v>
      </c>
    </row>
    <row r="10" spans="1:5" x14ac:dyDescent="0.25">
      <c r="A10" t="s">
        <v>12</v>
      </c>
      <c r="B10" t="s">
        <v>13</v>
      </c>
    </row>
    <row r="11" spans="1:5" x14ac:dyDescent="0.25">
      <c r="A11" t="s">
        <v>41</v>
      </c>
      <c r="B11" t="s">
        <v>42</v>
      </c>
    </row>
    <row r="12" spans="1:5" x14ac:dyDescent="0.25">
      <c r="A12" t="s">
        <v>74</v>
      </c>
    </row>
    <row r="13" spans="1:5" x14ac:dyDescent="0.25">
      <c r="A13" t="s">
        <v>12</v>
      </c>
    </row>
    <row r="14" spans="1:5" x14ac:dyDescent="0.25">
      <c r="A14" t="s">
        <v>13</v>
      </c>
    </row>
    <row r="15" spans="1:5" x14ac:dyDescent="0.25">
      <c r="A15" t="s">
        <v>15</v>
      </c>
    </row>
    <row r="16" spans="1:5" x14ac:dyDescent="0.25">
      <c r="A16" t="s">
        <v>75</v>
      </c>
    </row>
    <row r="17" spans="1:1" x14ac:dyDescent="0.25">
      <c r="A17" t="s">
        <v>76</v>
      </c>
    </row>
    <row r="18" spans="1:1" x14ac:dyDescent="0.25">
      <c r="A18" t="s">
        <v>77</v>
      </c>
    </row>
    <row r="19" spans="1:1" x14ac:dyDescent="0.25">
      <c r="A19" t="s">
        <v>16</v>
      </c>
    </row>
    <row r="20" spans="1:1" x14ac:dyDescent="0.25">
      <c r="A20" t="s">
        <v>21</v>
      </c>
    </row>
    <row r="21" spans="1:1" x14ac:dyDescent="0.25">
      <c r="A21" t="s">
        <v>22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78</v>
      </c>
    </row>
    <row r="27" spans="1:1" x14ac:dyDescent="0.25">
      <c r="A27" t="s">
        <v>79</v>
      </c>
    </row>
    <row r="28" spans="1:1" x14ac:dyDescent="0.25">
      <c r="A28" t="s">
        <v>80</v>
      </c>
    </row>
    <row r="29" spans="1:1" x14ac:dyDescent="0.25">
      <c r="A29" t="s">
        <v>81</v>
      </c>
    </row>
    <row r="30" spans="1:1" x14ac:dyDescent="0.25">
      <c r="A30" t="s">
        <v>27</v>
      </c>
    </row>
    <row r="31" spans="1:1" x14ac:dyDescent="0.25">
      <c r="A31" t="s">
        <v>28</v>
      </c>
    </row>
    <row r="32" spans="1:1" x14ac:dyDescent="0.25">
      <c r="A32" t="s">
        <v>34</v>
      </c>
    </row>
    <row r="33" spans="1:1" x14ac:dyDescent="0.25">
      <c r="A33" t="s">
        <v>82</v>
      </c>
    </row>
    <row r="34" spans="1:1" x14ac:dyDescent="0.25">
      <c r="A34" t="s">
        <v>83</v>
      </c>
    </row>
    <row r="35" spans="1:1" x14ac:dyDescent="0.25">
      <c r="A35" t="s">
        <v>35</v>
      </c>
    </row>
    <row r="36" spans="1:1" x14ac:dyDescent="0.25">
      <c r="A36" t="s">
        <v>36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84</v>
      </c>
    </row>
    <row r="48" spans="1:1" x14ac:dyDescent="0.25">
      <c r="A48" t="s">
        <v>53</v>
      </c>
    </row>
    <row r="49" spans="1:1" x14ac:dyDescent="0.25">
      <c r="A49" t="s">
        <v>54</v>
      </c>
    </row>
    <row r="50" spans="1:1" x14ac:dyDescent="0.25">
      <c r="A50" t="s">
        <v>55</v>
      </c>
    </row>
    <row r="51" spans="1:1" x14ac:dyDescent="0.25">
      <c r="A51" t="s">
        <v>56</v>
      </c>
    </row>
    <row r="52" spans="1:1" x14ac:dyDescent="0.25">
      <c r="A52" t="s">
        <v>57</v>
      </c>
    </row>
    <row r="53" spans="1:1" x14ac:dyDescent="0.25">
      <c r="A53" t="s">
        <v>58</v>
      </c>
    </row>
    <row r="54" spans="1:1" x14ac:dyDescent="0.25">
      <c r="A54" t="s">
        <v>85</v>
      </c>
    </row>
    <row r="55" spans="1:1" x14ac:dyDescent="0.25">
      <c r="A55" t="s">
        <v>59</v>
      </c>
    </row>
    <row r="56" spans="1:1" x14ac:dyDescent="0.25">
      <c r="A56" t="s">
        <v>60</v>
      </c>
    </row>
    <row r="57" spans="1:1" x14ac:dyDescent="0.25">
      <c r="A57" t="s">
        <v>61</v>
      </c>
    </row>
    <row r="58" spans="1:1" x14ac:dyDescent="0.25">
      <c r="A58" t="s">
        <v>62</v>
      </c>
    </row>
    <row r="59" spans="1:1" x14ac:dyDescent="0.25">
      <c r="A59" t="s">
        <v>63</v>
      </c>
    </row>
    <row r="60" spans="1:1" x14ac:dyDescent="0.25">
      <c r="A60" t="s">
        <v>86</v>
      </c>
    </row>
    <row r="61" spans="1:1" x14ac:dyDescent="0.25">
      <c r="A61" t="s">
        <v>66</v>
      </c>
    </row>
    <row r="62" spans="1:1" x14ac:dyDescent="0.25">
      <c r="A62" t="s">
        <v>67</v>
      </c>
    </row>
    <row r="63" spans="1:1" x14ac:dyDescent="0.25">
      <c r="A63" t="s">
        <v>68</v>
      </c>
    </row>
    <row r="64" spans="1:1" x14ac:dyDescent="0.25">
      <c r="A64" t="s">
        <v>69</v>
      </c>
    </row>
    <row r="65" spans="1:1" x14ac:dyDescent="0.25">
      <c r="A65" t="s">
        <v>87</v>
      </c>
    </row>
    <row r="66" spans="1:1" x14ac:dyDescent="0.25">
      <c r="A66" t="s">
        <v>88</v>
      </c>
    </row>
    <row r="67" spans="1:1" x14ac:dyDescent="0.25">
      <c r="A67" t="s">
        <v>89</v>
      </c>
    </row>
    <row r="68" spans="1:1" x14ac:dyDescent="0.25">
      <c r="A68" t="s">
        <v>70</v>
      </c>
    </row>
    <row r="69" spans="1:1" x14ac:dyDescent="0.25">
      <c r="A69" t="s">
        <v>71</v>
      </c>
    </row>
    <row r="70" spans="1:1" x14ac:dyDescent="0.25">
      <c r="A70" t="s">
        <v>72</v>
      </c>
    </row>
    <row r="71" spans="1:1" x14ac:dyDescent="0.25">
      <c r="A71" t="s">
        <v>73</v>
      </c>
    </row>
    <row r="72" spans="1:1" x14ac:dyDescent="0.25">
      <c r="A72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177"/>
  <sheetViews>
    <sheetView workbookViewId="0">
      <pane ySplit="1" topLeftCell="A2" activePane="bottomLeft" state="frozen"/>
      <selection pane="bottomLeft" activeCell="L5" sqref="L5"/>
    </sheetView>
  </sheetViews>
  <sheetFormatPr defaultRowHeight="13.2" x14ac:dyDescent="0.25"/>
  <cols>
    <col min="1" max="1" width="17.33203125" customWidth="1"/>
    <col min="2" max="2" width="12.109375" customWidth="1"/>
    <col min="3" max="3" width="5.6640625" customWidth="1"/>
    <col min="4" max="4" width="15.6640625" customWidth="1"/>
    <col min="5" max="5" width="9.88671875" style="5" customWidth="1"/>
    <col min="6" max="6" width="9.6640625" customWidth="1"/>
    <col min="7" max="7" width="15.6640625" customWidth="1"/>
    <col min="8" max="8" width="10.33203125" style="5" customWidth="1"/>
    <col min="9" max="9" width="10.5546875" customWidth="1"/>
    <col min="10" max="10" width="14.44140625" customWidth="1"/>
    <col min="11" max="11" width="10.5546875" style="8" customWidth="1"/>
    <col min="12" max="12" width="13.44140625" customWidth="1"/>
    <col min="13" max="13" width="11.5546875" style="8" customWidth="1"/>
    <col min="14" max="14" width="15.6640625" customWidth="1"/>
  </cols>
  <sheetData>
    <row r="1" spans="1:13" ht="26.4" x14ac:dyDescent="0.25">
      <c r="A1" s="9" t="s">
        <v>366</v>
      </c>
      <c r="B1" s="10"/>
      <c r="C1" s="10"/>
      <c r="D1" s="10" t="s">
        <v>367</v>
      </c>
      <c r="E1" s="11" t="s">
        <v>369</v>
      </c>
      <c r="F1" s="11" t="s">
        <v>368</v>
      </c>
      <c r="G1" s="11" t="s">
        <v>370</v>
      </c>
      <c r="H1" s="11" t="s">
        <v>369</v>
      </c>
      <c r="I1" s="11" t="s">
        <v>371</v>
      </c>
      <c r="J1" s="11" t="s">
        <v>351</v>
      </c>
      <c r="K1" s="12" t="s">
        <v>373</v>
      </c>
      <c r="L1" s="11" t="s">
        <v>351</v>
      </c>
      <c r="M1" s="12" t="s">
        <v>372</v>
      </c>
    </row>
    <row r="2" spans="1:13" x14ac:dyDescent="0.25">
      <c r="A2" t="s">
        <v>29</v>
      </c>
      <c r="B2" t="s">
        <v>30</v>
      </c>
    </row>
    <row r="3" spans="1:13" x14ac:dyDescent="0.25">
      <c r="D3" t="s">
        <v>15</v>
      </c>
      <c r="E3" s="5">
        <v>167.91878541708499</v>
      </c>
      <c r="F3">
        <v>346.6</v>
      </c>
    </row>
    <row r="4" spans="1:13" x14ac:dyDescent="0.25">
      <c r="D4" t="s">
        <v>31</v>
      </c>
      <c r="E4" s="5">
        <v>127.72910578827319</v>
      </c>
      <c r="F4">
        <v>199.2</v>
      </c>
    </row>
    <row r="5" spans="1:13" x14ac:dyDescent="0.25">
      <c r="D5" t="s">
        <v>32</v>
      </c>
      <c r="E5" s="5">
        <v>127.72910646385083</v>
      </c>
      <c r="F5">
        <v>199.2</v>
      </c>
    </row>
    <row r="6" spans="1:13" x14ac:dyDescent="0.25">
      <c r="D6" t="s">
        <v>39</v>
      </c>
      <c r="E6" s="5">
        <v>133.91723985639956</v>
      </c>
      <c r="F6">
        <v>159.30000000000001</v>
      </c>
    </row>
    <row r="7" spans="1:13" x14ac:dyDescent="0.25">
      <c r="D7" t="s">
        <v>49</v>
      </c>
      <c r="E7" s="5">
        <v>124.91434115958897</v>
      </c>
      <c r="F7">
        <v>159.30000000000001</v>
      </c>
    </row>
    <row r="8" spans="1:13" x14ac:dyDescent="0.25">
      <c r="D8" t="s">
        <v>51</v>
      </c>
      <c r="E8" s="5">
        <v>124.91434115958897</v>
      </c>
      <c r="F8">
        <v>159.30000000000001</v>
      </c>
    </row>
    <row r="9" spans="1:13" x14ac:dyDescent="0.25">
      <c r="D9" t="s">
        <v>55</v>
      </c>
      <c r="E9" s="5">
        <v>163.13172900906915</v>
      </c>
      <c r="F9">
        <v>47.8</v>
      </c>
    </row>
    <row r="10" spans="1:13" x14ac:dyDescent="0.25">
      <c r="D10" t="s">
        <v>60</v>
      </c>
      <c r="E10" s="5">
        <v>124.6936874661841</v>
      </c>
      <c r="F10">
        <v>104</v>
      </c>
    </row>
    <row r="11" spans="1:13" x14ac:dyDescent="0.25">
      <c r="D11" t="s">
        <v>70</v>
      </c>
      <c r="E11" s="5">
        <v>116.44588537104252</v>
      </c>
      <c r="F11">
        <v>143.4</v>
      </c>
    </row>
    <row r="12" spans="1:13" x14ac:dyDescent="0.25">
      <c r="D12" t="s">
        <v>71</v>
      </c>
      <c r="E12" s="5">
        <v>133.46897723849156</v>
      </c>
      <c r="F12">
        <v>59.8</v>
      </c>
    </row>
    <row r="13" spans="1:13" x14ac:dyDescent="0.25">
      <c r="D13" t="s">
        <v>72</v>
      </c>
      <c r="E13" s="5">
        <v>102.68184869189739</v>
      </c>
      <c r="F13">
        <v>143.4</v>
      </c>
    </row>
    <row r="14" spans="1:13" x14ac:dyDescent="0.25">
      <c r="G14" t="s">
        <v>150</v>
      </c>
      <c r="H14" s="5">
        <v>105.34920260244579</v>
      </c>
      <c r="I14">
        <v>350</v>
      </c>
    </row>
    <row r="15" spans="1:13" x14ac:dyDescent="0.25">
      <c r="G15" t="s">
        <v>156</v>
      </c>
      <c r="H15" s="5">
        <v>134.5999066455669</v>
      </c>
      <c r="I15">
        <v>100</v>
      </c>
    </row>
    <row r="16" spans="1:13" x14ac:dyDescent="0.25">
      <c r="G16" t="s">
        <v>158</v>
      </c>
      <c r="H16" s="5">
        <v>100.50564329163667</v>
      </c>
      <c r="I16">
        <v>150</v>
      </c>
    </row>
    <row r="17" spans="10:11" x14ac:dyDescent="0.25">
      <c r="J17" t="s">
        <v>75</v>
      </c>
      <c r="K17" s="8">
        <v>0.92962992191314697</v>
      </c>
    </row>
    <row r="18" spans="10:11" x14ac:dyDescent="0.25">
      <c r="J18" t="s">
        <v>187</v>
      </c>
      <c r="K18" s="8">
        <v>0.93313896656036377</v>
      </c>
    </row>
    <row r="19" spans="10:11" x14ac:dyDescent="0.25">
      <c r="J19" t="s">
        <v>188</v>
      </c>
      <c r="K19" s="8">
        <v>0.86271476745605469</v>
      </c>
    </row>
    <row r="20" spans="10:11" x14ac:dyDescent="0.25">
      <c r="J20" t="s">
        <v>189</v>
      </c>
      <c r="K20" s="8">
        <v>0.87849539518356323</v>
      </c>
    </row>
    <row r="21" spans="10:11" x14ac:dyDescent="0.25">
      <c r="J21" t="s">
        <v>190</v>
      </c>
      <c r="K21" s="8">
        <v>0.94402408599853516</v>
      </c>
    </row>
    <row r="22" spans="10:11" x14ac:dyDescent="0.25">
      <c r="J22" t="s">
        <v>191</v>
      </c>
      <c r="K22" s="8">
        <v>0.94843047857284546</v>
      </c>
    </row>
    <row r="23" spans="10:11" x14ac:dyDescent="0.25">
      <c r="J23" t="s">
        <v>192</v>
      </c>
      <c r="K23" s="8">
        <v>0.94043320417404175</v>
      </c>
    </row>
    <row r="24" spans="10:11" x14ac:dyDescent="0.25">
      <c r="J24" t="s">
        <v>206</v>
      </c>
      <c r="K24" s="8">
        <v>0.8901934027671814</v>
      </c>
    </row>
    <row r="25" spans="10:11" x14ac:dyDescent="0.25">
      <c r="J25" t="s">
        <v>208</v>
      </c>
      <c r="K25" s="8">
        <v>0.87277090549468994</v>
      </c>
    </row>
    <row r="26" spans="10:11" x14ac:dyDescent="0.25">
      <c r="J26" t="s">
        <v>209</v>
      </c>
      <c r="K26" s="8">
        <v>0.87277090549468994</v>
      </c>
    </row>
    <row r="27" spans="10:11" x14ac:dyDescent="0.25">
      <c r="J27" t="s">
        <v>357</v>
      </c>
      <c r="K27" s="8">
        <v>0.87277090549468994</v>
      </c>
    </row>
    <row r="28" spans="10:11" x14ac:dyDescent="0.25">
      <c r="J28" t="s">
        <v>211</v>
      </c>
      <c r="K28" s="8">
        <v>0.90875750780105591</v>
      </c>
    </row>
    <row r="29" spans="10:11" x14ac:dyDescent="0.25">
      <c r="J29" t="s">
        <v>224</v>
      </c>
      <c r="K29" s="8">
        <v>0.94884854555130005</v>
      </c>
    </row>
    <row r="30" spans="10:11" x14ac:dyDescent="0.25">
      <c r="J30" t="s">
        <v>225</v>
      </c>
      <c r="K30" s="8">
        <v>0.94386106729507446</v>
      </c>
    </row>
    <row r="31" spans="10:11" x14ac:dyDescent="0.25">
      <c r="J31" t="s">
        <v>226</v>
      </c>
      <c r="K31" s="8">
        <v>0.87432402372360229</v>
      </c>
    </row>
    <row r="32" spans="10:11" x14ac:dyDescent="0.25">
      <c r="J32" t="s">
        <v>227</v>
      </c>
      <c r="K32" s="8">
        <v>0.86779654026031494</v>
      </c>
    </row>
    <row r="33" spans="1:11" x14ac:dyDescent="0.25">
      <c r="J33" t="s">
        <v>228</v>
      </c>
      <c r="K33" s="8">
        <v>0.85591208934783936</v>
      </c>
    </row>
    <row r="34" spans="1:11" x14ac:dyDescent="0.25">
      <c r="J34" t="s">
        <v>85</v>
      </c>
      <c r="K34" s="8">
        <v>0.94906634092330933</v>
      </c>
    </row>
    <row r="35" spans="1:11" x14ac:dyDescent="0.25">
      <c r="J35" t="s">
        <v>230</v>
      </c>
      <c r="K35" s="8">
        <v>0.93709534406661987</v>
      </c>
    </row>
    <row r="36" spans="1:11" x14ac:dyDescent="0.25">
      <c r="J36" t="s">
        <v>231</v>
      </c>
      <c r="K36" s="8">
        <v>0.94254887104034424</v>
      </c>
    </row>
    <row r="37" spans="1:11" x14ac:dyDescent="0.25">
      <c r="J37" t="s">
        <v>86</v>
      </c>
      <c r="K37" s="8">
        <v>0.94240760803222656</v>
      </c>
    </row>
    <row r="38" spans="1:11" x14ac:dyDescent="0.25">
      <c r="J38" t="s">
        <v>232</v>
      </c>
      <c r="K38" s="8">
        <v>0.93382447957992554</v>
      </c>
    </row>
    <row r="39" spans="1:11" x14ac:dyDescent="0.25">
      <c r="J39" t="s">
        <v>87</v>
      </c>
      <c r="K39" s="8">
        <v>0.92999327182769775</v>
      </c>
    </row>
    <row r="40" spans="1:11" x14ac:dyDescent="0.25">
      <c r="J40" t="s">
        <v>235</v>
      </c>
      <c r="K40" s="8">
        <v>0.89810198545455933</v>
      </c>
    </row>
    <row r="41" spans="1:11" x14ac:dyDescent="0.25">
      <c r="J41" t="s">
        <v>236</v>
      </c>
      <c r="K41" s="8">
        <v>0.89793854951858521</v>
      </c>
    </row>
    <row r="42" spans="1:11" x14ac:dyDescent="0.25">
      <c r="J42" t="s">
        <v>358</v>
      </c>
      <c r="K42" s="8">
        <v>0.92999327182769775</v>
      </c>
    </row>
    <row r="43" spans="1:11" x14ac:dyDescent="0.25">
      <c r="J43" t="s">
        <v>88</v>
      </c>
      <c r="K43" s="8">
        <v>0.83866894245147705</v>
      </c>
    </row>
    <row r="44" spans="1:11" x14ac:dyDescent="0.25">
      <c r="J44" t="s">
        <v>89</v>
      </c>
      <c r="K44" s="8">
        <v>0.83969271183013916</v>
      </c>
    </row>
    <row r="45" spans="1:11" x14ac:dyDescent="0.25">
      <c r="J45" t="s">
        <v>237</v>
      </c>
      <c r="K45" s="8">
        <v>0.86855244636535645</v>
      </c>
    </row>
    <row r="46" spans="1:11" x14ac:dyDescent="0.25">
      <c r="J46" t="s">
        <v>90</v>
      </c>
      <c r="K46" s="8">
        <v>0.86179226636886597</v>
      </c>
    </row>
    <row r="47" spans="1:11" x14ac:dyDescent="0.25">
      <c r="J47" t="s">
        <v>238</v>
      </c>
      <c r="K47" s="8">
        <v>0.84898006916046143</v>
      </c>
    </row>
    <row r="48" spans="1:11" x14ac:dyDescent="0.25">
      <c r="A48" t="s">
        <v>19</v>
      </c>
      <c r="B48" t="s">
        <v>20</v>
      </c>
    </row>
    <row r="49" spans="1:11" x14ac:dyDescent="0.25">
      <c r="A49" t="s">
        <v>17</v>
      </c>
      <c r="B49" t="s">
        <v>18</v>
      </c>
    </row>
    <row r="50" spans="1:11" x14ac:dyDescent="0.25">
      <c r="D50" t="s">
        <v>57</v>
      </c>
      <c r="E50" s="5">
        <v>119.94591843034293</v>
      </c>
      <c r="F50">
        <v>155.4</v>
      </c>
    </row>
    <row r="51" spans="1:11" x14ac:dyDescent="0.25">
      <c r="D51" t="s">
        <v>58</v>
      </c>
      <c r="E51" s="5">
        <v>110.70837183606996</v>
      </c>
      <c r="F51">
        <v>191.2</v>
      </c>
    </row>
    <row r="52" spans="1:11" x14ac:dyDescent="0.25">
      <c r="D52" t="s">
        <v>60</v>
      </c>
      <c r="E52" s="5">
        <v>131.7954444333046</v>
      </c>
      <c r="F52">
        <v>104</v>
      </c>
    </row>
    <row r="53" spans="1:11" x14ac:dyDescent="0.25">
      <c r="G53" t="s">
        <v>158</v>
      </c>
      <c r="H53" s="5">
        <v>123.73024281143168</v>
      </c>
      <c r="I53">
        <v>150</v>
      </c>
    </row>
    <row r="54" spans="1:11" x14ac:dyDescent="0.25">
      <c r="J54" t="s">
        <v>75</v>
      </c>
      <c r="K54" s="8">
        <v>0.93025177717208862</v>
      </c>
    </row>
    <row r="55" spans="1:11" x14ac:dyDescent="0.25">
      <c r="J55" t="s">
        <v>187</v>
      </c>
      <c r="K55" s="8">
        <v>0.9284784197807312</v>
      </c>
    </row>
    <row r="56" spans="1:11" x14ac:dyDescent="0.25">
      <c r="J56" t="s">
        <v>188</v>
      </c>
      <c r="K56" s="8">
        <v>0.89262068271636963</v>
      </c>
    </row>
    <row r="57" spans="1:11" x14ac:dyDescent="0.25">
      <c r="J57" t="s">
        <v>189</v>
      </c>
      <c r="K57" s="8">
        <v>0.90035295486450195</v>
      </c>
    </row>
    <row r="58" spans="1:11" x14ac:dyDescent="0.25">
      <c r="J58" t="s">
        <v>190</v>
      </c>
      <c r="K58" s="8">
        <v>0.94310760498046875</v>
      </c>
    </row>
    <row r="59" spans="1:11" x14ac:dyDescent="0.25">
      <c r="J59" t="s">
        <v>191</v>
      </c>
      <c r="K59" s="8">
        <v>0.94770771265029907</v>
      </c>
    </row>
    <row r="60" spans="1:11" x14ac:dyDescent="0.25">
      <c r="J60" t="s">
        <v>192</v>
      </c>
      <c r="K60" s="8">
        <v>0.94168233871459961</v>
      </c>
    </row>
    <row r="61" spans="1:11" x14ac:dyDescent="0.25">
      <c r="J61" t="s">
        <v>206</v>
      </c>
      <c r="K61" s="8">
        <v>0.94189810752868652</v>
      </c>
    </row>
    <row r="62" spans="1:11" x14ac:dyDescent="0.25">
      <c r="J62" t="s">
        <v>208</v>
      </c>
      <c r="K62" s="8">
        <v>0.93143808841705322</v>
      </c>
    </row>
    <row r="63" spans="1:11" x14ac:dyDescent="0.25">
      <c r="J63" t="s">
        <v>209</v>
      </c>
      <c r="K63" s="8">
        <v>0.93143808841705322</v>
      </c>
    </row>
    <row r="64" spans="1:11" x14ac:dyDescent="0.25">
      <c r="J64" t="s">
        <v>357</v>
      </c>
      <c r="K64" s="8">
        <v>0.93143808841705322</v>
      </c>
    </row>
    <row r="65" spans="10:11" x14ac:dyDescent="0.25">
      <c r="J65" t="s">
        <v>225</v>
      </c>
      <c r="K65" s="8">
        <v>0.94478440284729004</v>
      </c>
    </row>
    <row r="66" spans="10:11" x14ac:dyDescent="0.25">
      <c r="J66" t="s">
        <v>226</v>
      </c>
      <c r="K66" s="8">
        <v>0.90826523303985596</v>
      </c>
    </row>
    <row r="67" spans="10:11" x14ac:dyDescent="0.25">
      <c r="J67" t="s">
        <v>227</v>
      </c>
      <c r="K67" s="8">
        <v>0.90015244483947754</v>
      </c>
    </row>
    <row r="68" spans="10:11" x14ac:dyDescent="0.25">
      <c r="J68" t="s">
        <v>228</v>
      </c>
      <c r="K68" s="8">
        <v>0.90420466661453247</v>
      </c>
    </row>
    <row r="69" spans="10:11" x14ac:dyDescent="0.25">
      <c r="J69" t="s">
        <v>85</v>
      </c>
      <c r="K69" s="8">
        <v>0.90451186895370483</v>
      </c>
    </row>
    <row r="70" spans="10:11" x14ac:dyDescent="0.25">
      <c r="J70" t="s">
        <v>229</v>
      </c>
      <c r="K70" s="8">
        <v>0.89674538373947144</v>
      </c>
    </row>
    <row r="71" spans="10:11" x14ac:dyDescent="0.25">
      <c r="J71" t="s">
        <v>230</v>
      </c>
      <c r="K71" s="8">
        <v>0.89815419912338257</v>
      </c>
    </row>
    <row r="72" spans="10:11" x14ac:dyDescent="0.25">
      <c r="J72" t="s">
        <v>231</v>
      </c>
      <c r="K72" s="8">
        <v>0.94099175930023193</v>
      </c>
    </row>
    <row r="73" spans="10:11" x14ac:dyDescent="0.25">
      <c r="J73" t="s">
        <v>86</v>
      </c>
      <c r="K73" s="8">
        <v>0.94118225574493408</v>
      </c>
    </row>
    <row r="74" spans="10:11" x14ac:dyDescent="0.25">
      <c r="J74" t="s">
        <v>232</v>
      </c>
      <c r="K74" s="8">
        <v>0.93122684955596924</v>
      </c>
    </row>
    <row r="75" spans="10:11" x14ac:dyDescent="0.25">
      <c r="J75" t="s">
        <v>87</v>
      </c>
      <c r="K75" s="8">
        <v>0.93427789211273193</v>
      </c>
    </row>
    <row r="76" spans="10:11" x14ac:dyDescent="0.25">
      <c r="J76" t="s">
        <v>235</v>
      </c>
      <c r="K76" s="8">
        <v>0.91337710618972778</v>
      </c>
    </row>
    <row r="77" spans="10:11" x14ac:dyDescent="0.25">
      <c r="J77" t="s">
        <v>236</v>
      </c>
      <c r="K77" s="8">
        <v>0.91321593523025513</v>
      </c>
    </row>
    <row r="78" spans="10:11" x14ac:dyDescent="0.25">
      <c r="J78" t="s">
        <v>358</v>
      </c>
      <c r="K78" s="8">
        <v>0.93427789211273193</v>
      </c>
    </row>
    <row r="79" spans="10:11" x14ac:dyDescent="0.25">
      <c r="J79" t="s">
        <v>88</v>
      </c>
      <c r="K79" s="8">
        <v>0.92624527215957642</v>
      </c>
    </row>
    <row r="80" spans="10:11" x14ac:dyDescent="0.25">
      <c r="J80" t="s">
        <v>89</v>
      </c>
      <c r="K80" s="8">
        <v>0.93052101135253906</v>
      </c>
    </row>
    <row r="81" spans="1:11" x14ac:dyDescent="0.25">
      <c r="J81" t="s">
        <v>237</v>
      </c>
      <c r="K81" s="8">
        <v>0.94336098432540894</v>
      </c>
    </row>
    <row r="82" spans="1:11" x14ac:dyDescent="0.25">
      <c r="J82" t="s">
        <v>90</v>
      </c>
      <c r="K82" s="8">
        <v>0.92372804880142212</v>
      </c>
    </row>
    <row r="83" spans="1:11" x14ac:dyDescent="0.25">
      <c r="J83" t="s">
        <v>238</v>
      </c>
      <c r="K83" s="8">
        <v>0.91144609451293945</v>
      </c>
    </row>
    <row r="84" spans="1:11" x14ac:dyDescent="0.25">
      <c r="A84" t="s">
        <v>31</v>
      </c>
      <c r="B84" t="s">
        <v>32</v>
      </c>
    </row>
    <row r="85" spans="1:11" x14ac:dyDescent="0.25">
      <c r="D85" t="s">
        <v>15</v>
      </c>
      <c r="E85" s="5">
        <v>103.54207428269618</v>
      </c>
      <c r="F85">
        <v>346.6</v>
      </c>
    </row>
    <row r="86" spans="1:11" x14ac:dyDescent="0.25">
      <c r="D86" t="s">
        <v>49</v>
      </c>
      <c r="E86" s="5">
        <v>101.52169950169012</v>
      </c>
      <c r="F86">
        <v>159.30000000000001</v>
      </c>
    </row>
    <row r="87" spans="1:11" x14ac:dyDescent="0.25">
      <c r="D87" t="s">
        <v>51</v>
      </c>
      <c r="E87" s="5">
        <v>101.52169950169012</v>
      </c>
      <c r="F87">
        <v>159.30000000000001</v>
      </c>
    </row>
    <row r="88" spans="1:11" x14ac:dyDescent="0.25">
      <c r="J88" t="s">
        <v>208</v>
      </c>
      <c r="K88" s="8">
        <v>0.92158764600753784</v>
      </c>
    </row>
    <row r="89" spans="1:11" x14ac:dyDescent="0.25">
      <c r="J89" t="s">
        <v>209</v>
      </c>
      <c r="K89" s="8">
        <v>0.92158764600753784</v>
      </c>
    </row>
    <row r="90" spans="1:11" x14ac:dyDescent="0.25">
      <c r="J90" t="s">
        <v>357</v>
      </c>
      <c r="K90" s="8">
        <v>0.92158764600753784</v>
      </c>
    </row>
    <row r="91" spans="1:11" x14ac:dyDescent="0.25">
      <c r="A91" t="s">
        <v>37</v>
      </c>
      <c r="B91" t="s">
        <v>38</v>
      </c>
    </row>
    <row r="92" spans="1:11" x14ac:dyDescent="0.25">
      <c r="D92" t="s">
        <v>15</v>
      </c>
      <c r="E92" s="5">
        <v>123.44384519180758</v>
      </c>
      <c r="F92">
        <v>346.6</v>
      </c>
    </row>
    <row r="93" spans="1:11" x14ac:dyDescent="0.25">
      <c r="D93" t="s">
        <v>48</v>
      </c>
      <c r="E93" s="5">
        <v>110.37794928263587</v>
      </c>
      <c r="F93">
        <v>239</v>
      </c>
    </row>
    <row r="94" spans="1:11" x14ac:dyDescent="0.25">
      <c r="A94" t="s">
        <v>49</v>
      </c>
      <c r="B94" t="s">
        <v>51</v>
      </c>
    </row>
    <row r="95" spans="1:11" x14ac:dyDescent="0.25">
      <c r="D95" t="s">
        <v>48</v>
      </c>
      <c r="E95" s="5">
        <v>126.7774252537623</v>
      </c>
      <c r="F95">
        <v>239</v>
      </c>
    </row>
    <row r="96" spans="1:11" x14ac:dyDescent="0.25">
      <c r="D96" t="s">
        <v>53</v>
      </c>
      <c r="E96" s="5">
        <v>121.51575337054435</v>
      </c>
      <c r="F96">
        <v>159.30000000000001</v>
      </c>
    </row>
    <row r="97" spans="10:11" x14ac:dyDescent="0.25">
      <c r="J97" t="s">
        <v>74</v>
      </c>
      <c r="K97" s="8">
        <v>0.94646018743515015</v>
      </c>
    </row>
    <row r="98" spans="10:11" x14ac:dyDescent="0.25">
      <c r="J98" t="s">
        <v>179</v>
      </c>
      <c r="K98" s="8">
        <v>0.94371825456619263</v>
      </c>
    </row>
    <row r="99" spans="10:11" x14ac:dyDescent="0.25">
      <c r="J99" t="s">
        <v>188</v>
      </c>
      <c r="K99" s="8">
        <v>0.91686028242111206</v>
      </c>
    </row>
    <row r="100" spans="10:11" x14ac:dyDescent="0.25">
      <c r="J100" t="s">
        <v>189</v>
      </c>
      <c r="K100" s="8">
        <v>0.9190717339515686</v>
      </c>
    </row>
    <row r="101" spans="10:11" x14ac:dyDescent="0.25">
      <c r="J101" t="s">
        <v>190</v>
      </c>
      <c r="K101" s="8">
        <v>0.94792038202285767</v>
      </c>
    </row>
    <row r="102" spans="10:11" x14ac:dyDescent="0.25">
      <c r="J102" t="s">
        <v>192</v>
      </c>
      <c r="K102" s="8">
        <v>0.94667661190032959</v>
      </c>
    </row>
    <row r="103" spans="10:11" x14ac:dyDescent="0.25">
      <c r="J103" t="s">
        <v>219</v>
      </c>
      <c r="K103" s="8">
        <v>0.94303423166275024</v>
      </c>
    </row>
    <row r="104" spans="10:11" x14ac:dyDescent="0.25">
      <c r="J104" t="s">
        <v>220</v>
      </c>
      <c r="K104" s="8">
        <v>0.94764852523803711</v>
      </c>
    </row>
    <row r="105" spans="10:11" x14ac:dyDescent="0.25">
      <c r="J105" t="s">
        <v>221</v>
      </c>
      <c r="K105" s="8">
        <v>0.9219856858253479</v>
      </c>
    </row>
    <row r="106" spans="10:11" x14ac:dyDescent="0.25">
      <c r="J106" t="s">
        <v>222</v>
      </c>
      <c r="K106" s="8">
        <v>0.93463373184204102</v>
      </c>
    </row>
    <row r="107" spans="10:11" x14ac:dyDescent="0.25">
      <c r="J107" t="s">
        <v>223</v>
      </c>
      <c r="K107" s="8">
        <v>0.91554749011993408</v>
      </c>
    </row>
    <row r="108" spans="10:11" x14ac:dyDescent="0.25">
      <c r="J108" t="s">
        <v>224</v>
      </c>
      <c r="K108" s="8">
        <v>0.92688071727752686</v>
      </c>
    </row>
    <row r="109" spans="10:11" x14ac:dyDescent="0.25">
      <c r="J109" t="s">
        <v>225</v>
      </c>
      <c r="K109" s="8">
        <v>0.9386020302772522</v>
      </c>
    </row>
    <row r="110" spans="10:11" x14ac:dyDescent="0.25">
      <c r="J110" t="s">
        <v>226</v>
      </c>
      <c r="K110" s="8">
        <v>0.93556773662567139</v>
      </c>
    </row>
    <row r="111" spans="10:11" x14ac:dyDescent="0.25">
      <c r="J111" t="s">
        <v>227</v>
      </c>
      <c r="K111" s="8">
        <v>0.92618036270141602</v>
      </c>
    </row>
    <row r="112" spans="10:11" x14ac:dyDescent="0.25">
      <c r="J112" t="s">
        <v>228</v>
      </c>
      <c r="K112" s="8">
        <v>0.93277764320373535</v>
      </c>
    </row>
    <row r="113" spans="1:11" x14ac:dyDescent="0.25">
      <c r="J113" t="s">
        <v>231</v>
      </c>
      <c r="K113" s="8">
        <v>0.94789779186248779</v>
      </c>
    </row>
    <row r="114" spans="1:11" x14ac:dyDescent="0.25">
      <c r="J114" t="s">
        <v>86</v>
      </c>
      <c r="K114" s="8">
        <v>0.94505506753921509</v>
      </c>
    </row>
    <row r="115" spans="1:11" x14ac:dyDescent="0.25">
      <c r="J115" t="s">
        <v>232</v>
      </c>
      <c r="K115" s="8">
        <v>0.93227750062942505</v>
      </c>
    </row>
    <row r="116" spans="1:11" x14ac:dyDescent="0.25">
      <c r="J116" t="s">
        <v>87</v>
      </c>
      <c r="K116" s="8">
        <v>0.94126522541046143</v>
      </c>
    </row>
    <row r="117" spans="1:11" x14ac:dyDescent="0.25">
      <c r="J117" t="s">
        <v>235</v>
      </c>
      <c r="K117" s="8">
        <v>0.92764878273010254</v>
      </c>
    </row>
    <row r="118" spans="1:11" x14ac:dyDescent="0.25">
      <c r="J118" t="s">
        <v>236</v>
      </c>
      <c r="K118" s="8">
        <v>0.92748987674713135</v>
      </c>
    </row>
    <row r="119" spans="1:11" x14ac:dyDescent="0.25">
      <c r="J119" t="s">
        <v>358</v>
      </c>
      <c r="K119" s="8">
        <v>0.94126522541046143</v>
      </c>
    </row>
    <row r="120" spans="1:11" x14ac:dyDescent="0.25">
      <c r="J120" t="s">
        <v>90</v>
      </c>
      <c r="K120" s="8">
        <v>0.94898867607116699</v>
      </c>
    </row>
    <row r="121" spans="1:11" x14ac:dyDescent="0.25">
      <c r="J121" t="s">
        <v>238</v>
      </c>
      <c r="K121" s="8">
        <v>0.939464271068573</v>
      </c>
    </row>
    <row r="122" spans="1:11" x14ac:dyDescent="0.25">
      <c r="A122" t="s">
        <v>50</v>
      </c>
      <c r="B122" t="s">
        <v>52</v>
      </c>
    </row>
    <row r="123" spans="1:11" x14ac:dyDescent="0.25">
      <c r="A123" t="s">
        <v>64</v>
      </c>
      <c r="B123" t="s">
        <v>65</v>
      </c>
    </row>
    <row r="124" spans="1:11" x14ac:dyDescent="0.25">
      <c r="D124" t="s">
        <v>49</v>
      </c>
      <c r="E124" s="5">
        <v>100.50399365412497</v>
      </c>
      <c r="F124">
        <v>159.30000000000001</v>
      </c>
    </row>
    <row r="125" spans="1:11" x14ac:dyDescent="0.25">
      <c r="D125" t="s">
        <v>51</v>
      </c>
      <c r="E125" s="5">
        <v>100.50399365412497</v>
      </c>
      <c r="F125">
        <v>159.30000000000001</v>
      </c>
    </row>
    <row r="126" spans="1:11" x14ac:dyDescent="0.25">
      <c r="J126" t="s">
        <v>188</v>
      </c>
      <c r="K126" s="8">
        <v>0.94624632596969604</v>
      </c>
    </row>
    <row r="127" spans="1:11" x14ac:dyDescent="0.25">
      <c r="J127" t="s">
        <v>189</v>
      </c>
      <c r="K127" s="8">
        <v>0.94675540924072266</v>
      </c>
    </row>
    <row r="128" spans="1:11" x14ac:dyDescent="0.25">
      <c r="J128" t="s">
        <v>86</v>
      </c>
      <c r="K128" s="8">
        <v>0.93991756439208984</v>
      </c>
    </row>
    <row r="129" spans="1:11" x14ac:dyDescent="0.25">
      <c r="J129" t="s">
        <v>232</v>
      </c>
      <c r="K129" s="8">
        <v>0.93991756439208984</v>
      </c>
    </row>
    <row r="130" spans="1:11" x14ac:dyDescent="0.25">
      <c r="A130" t="s">
        <v>12</v>
      </c>
      <c r="B130" t="s">
        <v>13</v>
      </c>
    </row>
    <row r="131" spans="1:11" x14ac:dyDescent="0.25">
      <c r="D131" t="s">
        <v>15</v>
      </c>
      <c r="E131" s="5">
        <v>101.93031315498831</v>
      </c>
      <c r="F131">
        <v>346.6</v>
      </c>
    </row>
    <row r="132" spans="1:11" x14ac:dyDescent="0.25">
      <c r="A132" t="s">
        <v>41</v>
      </c>
      <c r="B132" t="s">
        <v>42</v>
      </c>
    </row>
    <row r="133" spans="1:11" x14ac:dyDescent="0.25">
      <c r="D133" t="s">
        <v>39</v>
      </c>
      <c r="E133" s="5">
        <v>113.18884982707831</v>
      </c>
      <c r="F133">
        <v>159.30000000000001</v>
      </c>
    </row>
    <row r="134" spans="1:11" x14ac:dyDescent="0.25">
      <c r="D134" t="s">
        <v>49</v>
      </c>
      <c r="E134" s="5">
        <v>152.74568590683876</v>
      </c>
      <c r="F134">
        <v>159.30000000000001</v>
      </c>
    </row>
    <row r="135" spans="1:11" x14ac:dyDescent="0.25">
      <c r="D135" t="s">
        <v>51</v>
      </c>
      <c r="E135" s="5">
        <v>152.74568590683876</v>
      </c>
      <c r="F135">
        <v>159.30000000000001</v>
      </c>
    </row>
    <row r="136" spans="1:11" x14ac:dyDescent="0.25">
      <c r="J136" t="s">
        <v>188</v>
      </c>
      <c r="K136" s="8">
        <v>0.93873119354248047</v>
      </c>
    </row>
    <row r="137" spans="1:11" x14ac:dyDescent="0.25">
      <c r="J137" t="s">
        <v>189</v>
      </c>
      <c r="K137" s="8">
        <v>0.94089972972869873</v>
      </c>
    </row>
    <row r="138" spans="1:11" x14ac:dyDescent="0.25">
      <c r="J138" t="s">
        <v>221</v>
      </c>
      <c r="K138" s="8">
        <v>0.94757193326950073</v>
      </c>
    </row>
    <row r="139" spans="1:11" x14ac:dyDescent="0.25">
      <c r="J139" t="s">
        <v>223</v>
      </c>
      <c r="K139" s="8">
        <v>0.94967299699783325</v>
      </c>
    </row>
    <row r="140" spans="1:11" x14ac:dyDescent="0.25">
      <c r="J140" t="s">
        <v>227</v>
      </c>
      <c r="K140" s="8">
        <v>0.94778722524642944</v>
      </c>
    </row>
    <row r="141" spans="1:11" x14ac:dyDescent="0.25">
      <c r="J141" t="s">
        <v>235</v>
      </c>
      <c r="K141" s="8">
        <v>0.94924461841583252</v>
      </c>
    </row>
    <row r="142" spans="1:11" x14ac:dyDescent="0.25">
      <c r="J142" t="s">
        <v>236</v>
      </c>
      <c r="K142" s="8">
        <v>0.9490886926651001</v>
      </c>
    </row>
    <row r="143" spans="1:11" x14ac:dyDescent="0.25">
      <c r="A143" t="s">
        <v>74</v>
      </c>
    </row>
    <row r="144" spans="1:11" x14ac:dyDescent="0.25">
      <c r="A144" t="s">
        <v>12</v>
      </c>
    </row>
    <row r="145" spans="1:11" x14ac:dyDescent="0.25">
      <c r="A145" t="s">
        <v>13</v>
      </c>
    </row>
    <row r="146" spans="1:11" x14ac:dyDescent="0.25">
      <c r="A146" t="s">
        <v>15</v>
      </c>
    </row>
    <row r="147" spans="1:11" x14ac:dyDescent="0.25">
      <c r="D147" t="s">
        <v>57</v>
      </c>
      <c r="E147" s="5">
        <v>103.81329698617034</v>
      </c>
      <c r="F147">
        <v>155.4</v>
      </c>
    </row>
    <row r="148" spans="1:11" x14ac:dyDescent="0.25">
      <c r="G148" t="s">
        <v>158</v>
      </c>
      <c r="H148" s="5">
        <v>108.18343856712229</v>
      </c>
      <c r="I148">
        <v>150</v>
      </c>
    </row>
    <row r="149" spans="1:11" x14ac:dyDescent="0.25">
      <c r="J149" t="s">
        <v>188</v>
      </c>
      <c r="K149" s="8">
        <v>0.92525184154510498</v>
      </c>
    </row>
    <row r="150" spans="1:11" x14ac:dyDescent="0.25">
      <c r="J150" t="s">
        <v>189</v>
      </c>
      <c r="K150" s="8">
        <v>0.93089026212692261</v>
      </c>
    </row>
    <row r="151" spans="1:11" x14ac:dyDescent="0.25">
      <c r="J151" t="s">
        <v>208</v>
      </c>
      <c r="K151" s="8">
        <v>0.94309741258621216</v>
      </c>
    </row>
    <row r="152" spans="1:11" x14ac:dyDescent="0.25">
      <c r="J152" t="s">
        <v>209</v>
      </c>
      <c r="K152" s="8">
        <v>0.94309741258621216</v>
      </c>
    </row>
    <row r="153" spans="1:11" x14ac:dyDescent="0.25">
      <c r="J153" t="s">
        <v>357</v>
      </c>
      <c r="K153" s="8">
        <v>0.94309741258621216</v>
      </c>
    </row>
    <row r="154" spans="1:11" x14ac:dyDescent="0.25">
      <c r="J154" t="s">
        <v>226</v>
      </c>
      <c r="K154" s="8">
        <v>0.94115930795669556</v>
      </c>
    </row>
    <row r="155" spans="1:11" x14ac:dyDescent="0.25">
      <c r="J155" t="s">
        <v>227</v>
      </c>
      <c r="K155" s="8">
        <v>0.9331200122833252</v>
      </c>
    </row>
    <row r="156" spans="1:11" x14ac:dyDescent="0.25">
      <c r="J156" t="s">
        <v>228</v>
      </c>
      <c r="K156" s="8">
        <v>0.93539714813232422</v>
      </c>
    </row>
    <row r="157" spans="1:11" x14ac:dyDescent="0.25">
      <c r="J157" t="s">
        <v>235</v>
      </c>
      <c r="K157" s="8">
        <v>0.94200742244720459</v>
      </c>
    </row>
    <row r="158" spans="1:11" x14ac:dyDescent="0.25">
      <c r="J158" t="s">
        <v>236</v>
      </c>
      <c r="K158" s="8">
        <v>0.94185036420822144</v>
      </c>
    </row>
    <row r="159" spans="1:11" x14ac:dyDescent="0.25">
      <c r="J159" t="s">
        <v>88</v>
      </c>
      <c r="K159" s="8">
        <v>0.942127525806427</v>
      </c>
    </row>
    <row r="160" spans="1:11" x14ac:dyDescent="0.25">
      <c r="J160" t="s">
        <v>89</v>
      </c>
      <c r="K160" s="8">
        <v>0.94465655088424683</v>
      </c>
    </row>
    <row r="161" spans="1:11" x14ac:dyDescent="0.25">
      <c r="J161" t="s">
        <v>90</v>
      </c>
      <c r="K161" s="8">
        <v>0.94343125820159912</v>
      </c>
    </row>
    <row r="162" spans="1:11" x14ac:dyDescent="0.25">
      <c r="J162" t="s">
        <v>238</v>
      </c>
      <c r="K162" s="8">
        <v>0.93726027011871338</v>
      </c>
    </row>
    <row r="163" spans="1:11" x14ac:dyDescent="0.25">
      <c r="A163" t="s">
        <v>75</v>
      </c>
    </row>
    <row r="164" spans="1:11" x14ac:dyDescent="0.25">
      <c r="D164" t="s">
        <v>16</v>
      </c>
      <c r="E164" s="5">
        <v>100.59467663365412</v>
      </c>
      <c r="F164">
        <v>71.7</v>
      </c>
    </row>
    <row r="165" spans="1:11" x14ac:dyDescent="0.25">
      <c r="D165" t="s">
        <v>55</v>
      </c>
      <c r="E165" s="5">
        <v>186.11493628124967</v>
      </c>
      <c r="F165">
        <v>47.8</v>
      </c>
    </row>
    <row r="166" spans="1:11" x14ac:dyDescent="0.25">
      <c r="D166" t="s">
        <v>60</v>
      </c>
      <c r="E166" s="5">
        <v>105.13357702098021</v>
      </c>
      <c r="F166">
        <v>104</v>
      </c>
    </row>
    <row r="167" spans="1:11" x14ac:dyDescent="0.25">
      <c r="G167" t="s">
        <v>156</v>
      </c>
      <c r="H167" s="5">
        <v>122.80169239976466</v>
      </c>
      <c r="I167">
        <v>100</v>
      </c>
    </row>
    <row r="168" spans="1:11" x14ac:dyDescent="0.25">
      <c r="J168" t="s">
        <v>188</v>
      </c>
      <c r="K168" s="8">
        <v>0.9162483811378479</v>
      </c>
    </row>
    <row r="169" spans="1:11" x14ac:dyDescent="0.25">
      <c r="J169" t="s">
        <v>189</v>
      </c>
      <c r="K169" s="8">
        <v>0.91923660039901733</v>
      </c>
    </row>
    <row r="170" spans="1:11" x14ac:dyDescent="0.25">
      <c r="J170" t="s">
        <v>226</v>
      </c>
      <c r="K170" s="8">
        <v>0.92485189437866211</v>
      </c>
    </row>
    <row r="171" spans="1:11" x14ac:dyDescent="0.25">
      <c r="J171" t="s">
        <v>227</v>
      </c>
      <c r="K171" s="8">
        <v>0.92080020904541016</v>
      </c>
    </row>
    <row r="172" spans="1:11" x14ac:dyDescent="0.25">
      <c r="J172" t="s">
        <v>228</v>
      </c>
      <c r="K172" s="8">
        <v>0.91488450765609741</v>
      </c>
    </row>
    <row r="173" spans="1:11" x14ac:dyDescent="0.25">
      <c r="J173" t="s">
        <v>235</v>
      </c>
      <c r="K173" s="8">
        <v>0.93175601959228516</v>
      </c>
    </row>
    <row r="174" spans="1:11" x14ac:dyDescent="0.25">
      <c r="J174" t="s">
        <v>236</v>
      </c>
      <c r="K174" s="8">
        <v>0.9315982460975647</v>
      </c>
    </row>
    <row r="175" spans="1:11" x14ac:dyDescent="0.25">
      <c r="J175" t="s">
        <v>88</v>
      </c>
      <c r="K175" s="8">
        <v>0.9474416971206665</v>
      </c>
    </row>
    <row r="176" spans="1:11" x14ac:dyDescent="0.25">
      <c r="J176" t="s">
        <v>90</v>
      </c>
      <c r="K176" s="8">
        <v>0.93115025758743286</v>
      </c>
    </row>
    <row r="177" spans="10:11" x14ac:dyDescent="0.25">
      <c r="J177" t="s">
        <v>238</v>
      </c>
      <c r="K177" s="8">
        <v>0.91743886470794678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80"/>
  <sheetViews>
    <sheetView workbookViewId="0">
      <pane ySplit="1" topLeftCell="A27" activePane="bottomLeft" state="frozen"/>
      <selection pane="bottomLeft" activeCell="L36" sqref="L35:L36"/>
    </sheetView>
  </sheetViews>
  <sheetFormatPr defaultRowHeight="13.2" x14ac:dyDescent="0.25"/>
  <cols>
    <col min="1" max="1" width="16.88671875" customWidth="1"/>
    <col min="4" max="7" width="9.109375" style="3"/>
    <col min="8" max="9" width="10.5546875" style="5" customWidth="1"/>
    <col min="10" max="10" width="12" style="5" customWidth="1"/>
    <col min="11" max="11" width="11.88671875" style="5" customWidth="1"/>
    <col min="12" max="12" width="13.33203125" style="5" customWidth="1"/>
  </cols>
  <sheetData>
    <row r="1" spans="1:12" x14ac:dyDescent="0.25">
      <c r="A1" s="7" t="s">
        <v>361</v>
      </c>
      <c r="B1" s="1"/>
      <c r="C1" s="1"/>
      <c r="D1" s="6"/>
      <c r="E1" s="6"/>
      <c r="F1" s="6"/>
      <c r="G1" s="6"/>
      <c r="H1" s="7"/>
      <c r="I1" s="7"/>
      <c r="J1" s="7"/>
      <c r="K1" s="7"/>
      <c r="L1" s="7"/>
    </row>
    <row r="2" spans="1:12" x14ac:dyDescent="0.25">
      <c r="A2">
        <v>7.1918210435229533</v>
      </c>
    </row>
    <row r="3" spans="1:12" x14ac:dyDescent="0.25">
      <c r="A3">
        <v>7.191821036614872</v>
      </c>
    </row>
    <row r="4" spans="1:12" x14ac:dyDescent="0.25">
      <c r="A4">
        <v>2.5052308514343398E-7</v>
      </c>
    </row>
    <row r="5" spans="1:12" x14ac:dyDescent="0.25">
      <c r="A5">
        <v>94.033948571851084</v>
      </c>
    </row>
    <row r="6" spans="1:12" x14ac:dyDescent="0.25">
      <c r="A6">
        <v>100.59467663365412</v>
      </c>
    </row>
    <row r="7" spans="1:12" x14ac:dyDescent="0.25">
      <c r="A7">
        <v>57.75953913165197</v>
      </c>
    </row>
    <row r="8" spans="1:12" x14ac:dyDescent="0.25">
      <c r="A8">
        <v>57.75953913165197</v>
      </c>
    </row>
    <row r="9" spans="1:12" x14ac:dyDescent="0.25">
      <c r="A9">
        <v>2.5050791600055486</v>
      </c>
    </row>
    <row r="10" spans="1:12" x14ac:dyDescent="0.25">
      <c r="A10">
        <v>2.5050791600055486</v>
      </c>
    </row>
    <row r="11" spans="1:12" x14ac:dyDescent="0.25">
      <c r="A11">
        <v>16.613908711075936</v>
      </c>
    </row>
    <row r="12" spans="1:12" x14ac:dyDescent="0.25">
      <c r="A12">
        <v>16.463233678552484</v>
      </c>
    </row>
    <row r="13" spans="1:12" x14ac:dyDescent="0.25">
      <c r="A13">
        <v>2.6812796494689817</v>
      </c>
    </row>
    <row r="14" spans="1:12" x14ac:dyDescent="0.25">
      <c r="A14">
        <v>5.6073724231714408</v>
      </c>
    </row>
    <row r="15" spans="1:12" x14ac:dyDescent="0.25">
      <c r="A15">
        <v>13.559884330747737</v>
      </c>
    </row>
    <row r="16" spans="1:12" x14ac:dyDescent="0.25">
      <c r="A16">
        <v>9.6613909144712515</v>
      </c>
    </row>
    <row r="17" spans="1:1" x14ac:dyDescent="0.25">
      <c r="A17">
        <v>8.3020266002490288</v>
      </c>
    </row>
    <row r="18" spans="1:1" x14ac:dyDescent="0.25">
      <c r="A18">
        <v>8.3484414061706147</v>
      </c>
    </row>
    <row r="19" spans="1:1" x14ac:dyDescent="0.25">
      <c r="A19">
        <v>47.841811710132212</v>
      </c>
    </row>
    <row r="20" spans="1:1" x14ac:dyDescent="0.25">
      <c r="A20">
        <v>47.841811696766371</v>
      </c>
    </row>
    <row r="21" spans="1:1" x14ac:dyDescent="0.25">
      <c r="A21">
        <v>22.141258838762738</v>
      </c>
    </row>
    <row r="22" spans="1:1" x14ac:dyDescent="0.25">
      <c r="A22">
        <v>22.141258822928155</v>
      </c>
    </row>
    <row r="23" spans="1:1" x14ac:dyDescent="0.25">
      <c r="A23">
        <v>1.4537211155385046E-6</v>
      </c>
    </row>
    <row r="24" spans="1:1" x14ac:dyDescent="0.25">
      <c r="A24">
        <v>13.848255036212326</v>
      </c>
    </row>
    <row r="25" spans="1:1" x14ac:dyDescent="0.25">
      <c r="A25">
        <v>57.819118495357614</v>
      </c>
    </row>
    <row r="26" spans="1:1" x14ac:dyDescent="0.25">
      <c r="A26">
        <v>34.689365773452465</v>
      </c>
    </row>
    <row r="27" spans="1:1" x14ac:dyDescent="0.25">
      <c r="A27">
        <v>33.837477072762248</v>
      </c>
    </row>
    <row r="28" spans="1:1" x14ac:dyDescent="0.25">
      <c r="A28">
        <v>33.837477078137788</v>
      </c>
    </row>
    <row r="29" spans="1:1" x14ac:dyDescent="0.25">
      <c r="A29">
        <v>50.072690114277229</v>
      </c>
    </row>
    <row r="30" spans="1:1" x14ac:dyDescent="0.25">
      <c r="A30">
        <v>54.802814673419419</v>
      </c>
    </row>
    <row r="31" spans="1:1" x14ac:dyDescent="0.25">
      <c r="A31">
        <v>45.388172490959526</v>
      </c>
    </row>
    <row r="32" spans="1:1" x14ac:dyDescent="0.25">
      <c r="A32">
        <v>45.388172490959526</v>
      </c>
    </row>
    <row r="33" spans="1:1" x14ac:dyDescent="0.25">
      <c r="A33">
        <v>27.814422337997925</v>
      </c>
    </row>
    <row r="34" spans="1:1" x14ac:dyDescent="0.25">
      <c r="A34">
        <v>19.972457892883654</v>
      </c>
    </row>
    <row r="35" spans="1:1" x14ac:dyDescent="0.25">
      <c r="A35">
        <v>5.8131558385103483</v>
      </c>
    </row>
    <row r="36" spans="1:1" x14ac:dyDescent="0.25">
      <c r="A36">
        <v>17.588952369046456</v>
      </c>
    </row>
    <row r="37" spans="1:1" x14ac:dyDescent="0.25">
      <c r="A37">
        <v>11.880786610600692</v>
      </c>
    </row>
    <row r="38" spans="1:1" x14ac:dyDescent="0.25">
      <c r="A38">
        <v>76.99606880705258</v>
      </c>
    </row>
    <row r="39" spans="1:1" x14ac:dyDescent="0.25">
      <c r="A39">
        <v>96.211815279336392</v>
      </c>
    </row>
    <row r="40" spans="1:1" x14ac:dyDescent="0.25">
      <c r="A40">
        <v>0</v>
      </c>
    </row>
    <row r="41" spans="1:1" x14ac:dyDescent="0.25">
      <c r="A41">
        <v>96.211815279336392</v>
      </c>
    </row>
    <row r="42" spans="1:1" x14ac:dyDescent="0.25">
      <c r="A42">
        <v>0</v>
      </c>
    </row>
    <row r="43" spans="1:1" x14ac:dyDescent="0.25">
      <c r="A43">
        <v>33.564952331268692</v>
      </c>
    </row>
    <row r="44" spans="1:1" x14ac:dyDescent="0.25">
      <c r="A44">
        <v>38.615305779073559</v>
      </c>
    </row>
    <row r="45" spans="1:1" x14ac:dyDescent="0.25">
      <c r="A45">
        <v>186.11493628124967</v>
      </c>
    </row>
    <row r="46" spans="1:1" x14ac:dyDescent="0.25">
      <c r="A46">
        <v>36.618839118516142</v>
      </c>
    </row>
    <row r="47" spans="1:1" x14ac:dyDescent="0.25">
      <c r="A47">
        <v>71.635321683041013</v>
      </c>
    </row>
    <row r="48" spans="1:1" x14ac:dyDescent="0.25">
      <c r="A48">
        <v>69.379942020581368</v>
      </c>
    </row>
    <row r="49" spans="1:1" x14ac:dyDescent="0.25">
      <c r="A49">
        <v>3.3018349645092933</v>
      </c>
    </row>
    <row r="50" spans="1:1" x14ac:dyDescent="0.25">
      <c r="A50">
        <v>105.13357702098021</v>
      </c>
    </row>
    <row r="51" spans="1:1" x14ac:dyDescent="0.25">
      <c r="A51">
        <v>97.017893640156259</v>
      </c>
    </row>
    <row r="52" spans="1:1" x14ac:dyDescent="0.25">
      <c r="A52">
        <v>12.842351225092646</v>
      </c>
    </row>
    <row r="53" spans="1:1" x14ac:dyDescent="0.25">
      <c r="A53">
        <v>6.5657766108381619</v>
      </c>
    </row>
    <row r="54" spans="1:1" x14ac:dyDescent="0.25">
      <c r="A54">
        <v>11.065019902548567</v>
      </c>
    </row>
    <row r="55" spans="1:1" x14ac:dyDescent="0.25">
      <c r="A55">
        <v>42.296887432263759</v>
      </c>
    </row>
    <row r="56" spans="1:1" x14ac:dyDescent="0.25">
      <c r="A56">
        <v>19.306987616213515</v>
      </c>
    </row>
    <row r="57" spans="1:1" x14ac:dyDescent="0.25">
      <c r="A57">
        <v>62.663567127221306</v>
      </c>
    </row>
    <row r="58" spans="1:1" x14ac:dyDescent="0.25">
      <c r="A58">
        <v>48.347740160160356</v>
      </c>
    </row>
    <row r="59" spans="1:1" x14ac:dyDescent="0.25">
      <c r="A59">
        <v>59.775580201935718</v>
      </c>
    </row>
    <row r="60" spans="1:1" x14ac:dyDescent="0.25">
      <c r="A60">
        <v>55.480375156044083</v>
      </c>
    </row>
    <row r="61" spans="1:1" x14ac:dyDescent="0.25">
      <c r="A61">
        <v>35.656300395696924</v>
      </c>
    </row>
    <row r="62" spans="1:1" x14ac:dyDescent="0.25">
      <c r="A62">
        <v>96.376598992724922</v>
      </c>
    </row>
    <row r="63" spans="1:1" x14ac:dyDescent="0.25">
      <c r="A63">
        <v>86.243130581751743</v>
      </c>
    </row>
    <row r="64" spans="1:1" x14ac:dyDescent="0.25">
      <c r="A64">
        <v>1.0117370265578323</v>
      </c>
    </row>
    <row r="65" spans="1:1" x14ac:dyDescent="0.25">
      <c r="A65">
        <v>0</v>
      </c>
    </row>
    <row r="66" spans="1:1" x14ac:dyDescent="0.25">
      <c r="A66">
        <v>0.71201503802210064</v>
      </c>
    </row>
    <row r="67" spans="1:1" x14ac:dyDescent="0.25">
      <c r="A67">
        <v>6.1396692789291993</v>
      </c>
    </row>
    <row r="68" spans="1:1" x14ac:dyDescent="0.25">
      <c r="A68">
        <v>0.45931663266585909</v>
      </c>
    </row>
    <row r="69" spans="1:1" x14ac:dyDescent="0.25">
      <c r="A69">
        <v>0.79498438553865569</v>
      </c>
    </row>
    <row r="70" spans="1:1" x14ac:dyDescent="0.25">
      <c r="A70">
        <v>1.1325837588023129</v>
      </c>
    </row>
    <row r="71" spans="1:1" x14ac:dyDescent="0.25">
      <c r="A71">
        <v>0.76756034510342253</v>
      </c>
    </row>
    <row r="72" spans="1:1" x14ac:dyDescent="0.25">
      <c r="A72">
        <v>2.7508765924750929</v>
      </c>
    </row>
    <row r="73" spans="1:1" x14ac:dyDescent="0.25">
      <c r="A73">
        <v>4.3613539733717079</v>
      </c>
    </row>
    <row r="74" spans="1:1" x14ac:dyDescent="0.25">
      <c r="A74">
        <v>1.984464032387276</v>
      </c>
    </row>
    <row r="75" spans="1:1" x14ac:dyDescent="0.25">
      <c r="A75">
        <v>5.1081408879673162</v>
      </c>
    </row>
    <row r="76" spans="1:1" x14ac:dyDescent="0.25">
      <c r="A76">
        <v>17.101916338040116</v>
      </c>
    </row>
    <row r="77" spans="1:1" x14ac:dyDescent="0.25">
      <c r="A77">
        <v>0.61977299419939713</v>
      </c>
    </row>
    <row r="78" spans="1:1" x14ac:dyDescent="0.25">
      <c r="A78">
        <v>1.8653746288138249</v>
      </c>
    </row>
    <row r="79" spans="1:1" x14ac:dyDescent="0.25">
      <c r="A79">
        <v>0.78831348607131568</v>
      </c>
    </row>
    <row r="80" spans="1:1" x14ac:dyDescent="0.25">
      <c r="A80">
        <v>5.5097144317571614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5"/>
  <sheetViews>
    <sheetView workbookViewId="0">
      <selection activeCell="A26" sqref="A26"/>
    </sheetView>
  </sheetViews>
  <sheetFormatPr defaultRowHeight="13.2" x14ac:dyDescent="0.25"/>
  <cols>
    <col min="1" max="1" width="17" customWidth="1"/>
    <col min="10" max="10" width="15.5546875" customWidth="1"/>
    <col min="11" max="11" width="13" customWidth="1"/>
    <col min="12" max="12" width="13.5546875" customWidth="1"/>
  </cols>
  <sheetData>
    <row r="1" spans="1:12" x14ac:dyDescent="0.25">
      <c r="A1" s="7" t="s">
        <v>361</v>
      </c>
      <c r="B1" s="1"/>
      <c r="C1" s="1"/>
      <c r="D1" s="6"/>
      <c r="E1" s="6"/>
      <c r="F1" s="6"/>
      <c r="G1" s="6"/>
      <c r="H1" s="7"/>
      <c r="I1" s="7"/>
      <c r="J1" s="7"/>
      <c r="K1" s="7"/>
      <c r="L1" s="7"/>
    </row>
    <row r="2" spans="1:12" x14ac:dyDescent="0.25">
      <c r="A2">
        <v>53.133318984153455</v>
      </c>
      <c r="D2" s="5"/>
      <c r="E2" s="5"/>
      <c r="F2" s="5"/>
      <c r="G2" s="5"/>
      <c r="H2" s="5"/>
      <c r="I2" s="5"/>
      <c r="J2" s="5"/>
      <c r="K2" s="5"/>
      <c r="L2" s="5"/>
    </row>
    <row r="3" spans="1:12" x14ac:dyDescent="0.25">
      <c r="A3">
        <v>54.602426510674952</v>
      </c>
      <c r="D3" s="5"/>
      <c r="E3" s="5"/>
      <c r="F3" s="5"/>
      <c r="G3" s="5"/>
      <c r="H3" s="5"/>
      <c r="I3" s="5"/>
      <c r="J3" s="5"/>
      <c r="K3" s="5"/>
      <c r="L3" s="5"/>
    </row>
    <row r="4" spans="1:12" x14ac:dyDescent="0.25">
      <c r="A4">
        <v>55.018960076811418</v>
      </c>
      <c r="D4" s="5"/>
      <c r="E4" s="5"/>
      <c r="F4" s="5"/>
      <c r="G4" s="5"/>
      <c r="H4" s="5"/>
      <c r="I4" s="5"/>
      <c r="J4" s="5"/>
      <c r="K4" s="5"/>
      <c r="L4" s="5"/>
    </row>
    <row r="5" spans="1:12" x14ac:dyDescent="0.25">
      <c r="A5">
        <v>93.363021645859192</v>
      </c>
      <c r="D5" s="5"/>
      <c r="E5" s="5"/>
      <c r="F5" s="5"/>
      <c r="G5" s="5"/>
      <c r="H5" s="5"/>
      <c r="I5" s="5"/>
      <c r="J5" s="5"/>
      <c r="K5" s="5"/>
      <c r="L5" s="5"/>
    </row>
    <row r="6" spans="1:12" x14ac:dyDescent="0.25">
      <c r="A6">
        <v>42.140898618515912</v>
      </c>
      <c r="D6" s="5"/>
      <c r="E6" s="5"/>
      <c r="F6" s="5"/>
      <c r="G6" s="5"/>
      <c r="H6" s="5"/>
      <c r="I6" s="5"/>
      <c r="J6" s="5"/>
      <c r="K6" s="5"/>
      <c r="L6" s="5"/>
    </row>
    <row r="7" spans="1:12" x14ac:dyDescent="0.25">
      <c r="A7">
        <v>23.673128155225069</v>
      </c>
      <c r="D7" s="5"/>
      <c r="E7" s="5"/>
      <c r="F7" s="5"/>
      <c r="G7" s="5"/>
      <c r="H7" s="5"/>
      <c r="I7" s="5"/>
      <c r="J7" s="5"/>
      <c r="K7" s="5"/>
      <c r="L7" s="5"/>
    </row>
    <row r="8" spans="1:12" x14ac:dyDescent="0.25">
      <c r="A8">
        <v>25.306706977510178</v>
      </c>
      <c r="D8" s="5"/>
      <c r="E8" s="5"/>
      <c r="F8" s="5"/>
      <c r="G8" s="5"/>
      <c r="H8" s="5"/>
      <c r="I8" s="5"/>
      <c r="J8" s="5"/>
      <c r="K8" s="5"/>
      <c r="L8" s="5"/>
    </row>
    <row r="9" spans="1:12" x14ac:dyDescent="0.25">
      <c r="A9">
        <v>26.409533233270587</v>
      </c>
      <c r="D9" s="5"/>
      <c r="E9" s="5"/>
      <c r="F9" s="5"/>
      <c r="G9" s="5"/>
      <c r="H9" s="5"/>
      <c r="I9" s="5"/>
      <c r="J9" s="5"/>
      <c r="K9" s="5"/>
      <c r="L9" s="5"/>
    </row>
    <row r="10" spans="1:12" x14ac:dyDescent="0.25">
      <c r="A10">
        <v>42.589045917864802</v>
      </c>
      <c r="D10" s="5"/>
      <c r="E10" s="5"/>
      <c r="F10" s="5"/>
      <c r="G10" s="5"/>
      <c r="H10" s="5"/>
      <c r="I10" s="5"/>
      <c r="J10" s="5"/>
      <c r="K10" s="5"/>
      <c r="L10" s="5"/>
    </row>
    <row r="11" spans="1:12" x14ac:dyDescent="0.25">
      <c r="A11">
        <v>66.183443157021856</v>
      </c>
      <c r="D11" s="5"/>
      <c r="E11" s="5"/>
      <c r="F11" s="5"/>
      <c r="G11" s="5"/>
      <c r="H11" s="5"/>
      <c r="I11" s="5"/>
      <c r="J11" s="5"/>
      <c r="K11" s="5"/>
      <c r="L11" s="5"/>
    </row>
    <row r="12" spans="1:12" x14ac:dyDescent="0.25">
      <c r="A12">
        <v>49.856228442318098</v>
      </c>
      <c r="D12" s="5"/>
      <c r="E12" s="5"/>
      <c r="F12" s="5"/>
      <c r="G12" s="5"/>
      <c r="H12" s="5"/>
      <c r="I12" s="5"/>
      <c r="J12" s="5"/>
      <c r="K12" s="5"/>
      <c r="L12" s="5"/>
    </row>
    <row r="13" spans="1:12" x14ac:dyDescent="0.25">
      <c r="A13">
        <v>19.017626257347388</v>
      </c>
      <c r="D13" s="5"/>
      <c r="E13" s="5"/>
      <c r="F13" s="5"/>
      <c r="G13" s="5"/>
      <c r="H13" s="5"/>
      <c r="I13" s="5"/>
      <c r="J13" s="5"/>
      <c r="K13" s="5"/>
      <c r="L13" s="5"/>
    </row>
    <row r="14" spans="1:12" x14ac:dyDescent="0.25">
      <c r="A14">
        <v>31.908065867105968</v>
      </c>
      <c r="D14" s="5"/>
      <c r="E14" s="5"/>
      <c r="F14" s="5"/>
      <c r="G14" s="5"/>
      <c r="H14" s="5"/>
      <c r="I14" s="5"/>
      <c r="J14" s="5"/>
      <c r="K14" s="5"/>
      <c r="L14" s="5"/>
    </row>
    <row r="15" spans="1:12" x14ac:dyDescent="0.25">
      <c r="A15">
        <v>12.992743976466922</v>
      </c>
      <c r="D15" s="5"/>
      <c r="E15" s="5"/>
      <c r="F15" s="5"/>
      <c r="G15" s="5"/>
      <c r="H15" s="5"/>
      <c r="I15" s="5"/>
      <c r="J15" s="5"/>
      <c r="K15" s="5"/>
      <c r="L15" s="5"/>
    </row>
    <row r="16" spans="1:12" x14ac:dyDescent="0.25">
      <c r="A16">
        <v>7.3887061516250103</v>
      </c>
      <c r="D16" s="5"/>
      <c r="E16" s="5"/>
      <c r="F16" s="5"/>
      <c r="G16" s="5"/>
      <c r="H16" s="5"/>
      <c r="I16" s="5"/>
      <c r="J16" s="5"/>
      <c r="K16" s="5"/>
      <c r="L16" s="5"/>
    </row>
    <row r="17" spans="1:12" x14ac:dyDescent="0.25">
      <c r="A17">
        <v>122.80169239976466</v>
      </c>
      <c r="D17" s="5"/>
      <c r="E17" s="5"/>
      <c r="F17" s="5"/>
      <c r="G17" s="5"/>
      <c r="H17" s="5"/>
      <c r="I17" s="5"/>
      <c r="J17" s="5"/>
      <c r="K17" s="5"/>
      <c r="L17" s="5"/>
    </row>
    <row r="18" spans="1:12" x14ac:dyDescent="0.25">
      <c r="A18">
        <v>37.768008418288368</v>
      </c>
      <c r="D18" s="5"/>
      <c r="E18" s="5"/>
      <c r="F18" s="5"/>
      <c r="G18" s="5"/>
      <c r="H18" s="5"/>
      <c r="I18" s="5"/>
      <c r="J18" s="5"/>
      <c r="K18" s="5"/>
      <c r="L18" s="5"/>
    </row>
    <row r="19" spans="1:12" x14ac:dyDescent="0.25">
      <c r="A19">
        <v>75.0058004169952</v>
      </c>
      <c r="D19" s="5"/>
      <c r="E19" s="5"/>
      <c r="F19" s="5"/>
      <c r="G19" s="5"/>
      <c r="H19" s="5"/>
      <c r="I19" s="5"/>
      <c r="J19" s="5"/>
      <c r="K19" s="5"/>
      <c r="L19" s="5"/>
    </row>
    <row r="20" spans="1:12" x14ac:dyDescent="0.25">
      <c r="A20">
        <v>13.81428359674713</v>
      </c>
      <c r="D20" s="5"/>
      <c r="E20" s="5"/>
      <c r="F20" s="5"/>
      <c r="G20" s="5"/>
      <c r="H20" s="5"/>
      <c r="I20" s="5"/>
      <c r="J20" s="5"/>
      <c r="K20" s="5"/>
      <c r="L20" s="5"/>
    </row>
    <row r="21" spans="1:12" x14ac:dyDescent="0.25">
      <c r="A21">
        <v>47.967998032257668</v>
      </c>
      <c r="D21" s="5"/>
      <c r="E21" s="5"/>
      <c r="F21" s="5"/>
      <c r="G21" s="5"/>
      <c r="H21" s="5"/>
      <c r="I21" s="5"/>
      <c r="J21" s="5"/>
      <c r="K21" s="5"/>
      <c r="L21" s="5"/>
    </row>
    <row r="22" spans="1:12" x14ac:dyDescent="0.25">
      <c r="A22">
        <v>84.898812819276287</v>
      </c>
      <c r="D22" s="5"/>
      <c r="E22" s="5"/>
      <c r="F22" s="5"/>
      <c r="G22" s="5"/>
      <c r="H22" s="5"/>
      <c r="I22" s="5"/>
      <c r="J22" s="5"/>
      <c r="K22" s="5"/>
      <c r="L22" s="5"/>
    </row>
    <row r="23" spans="1:12" x14ac:dyDescent="0.25">
      <c r="A23">
        <v>30.738647817290449</v>
      </c>
      <c r="D23" s="5"/>
      <c r="E23" s="5"/>
      <c r="F23" s="5"/>
      <c r="G23" s="5"/>
      <c r="H23" s="5"/>
      <c r="I23" s="5"/>
      <c r="J23" s="5"/>
      <c r="K23" s="5"/>
      <c r="L23" s="5"/>
    </row>
    <row r="24" spans="1:12" x14ac:dyDescent="0.25">
      <c r="A24">
        <v>0</v>
      </c>
      <c r="D24" s="5"/>
      <c r="E24" s="5"/>
      <c r="F24" s="5"/>
      <c r="G24" s="5"/>
      <c r="H24" s="5"/>
      <c r="I24" s="5"/>
      <c r="J24" s="5"/>
      <c r="K24" s="5"/>
      <c r="L24" s="5"/>
    </row>
    <row r="25" spans="1:12" x14ac:dyDescent="0.25">
      <c r="A25">
        <v>0</v>
      </c>
      <c r="D25" s="5"/>
      <c r="E25" s="5"/>
      <c r="F25" s="5"/>
      <c r="G25" s="5"/>
      <c r="H25" s="5"/>
      <c r="I25" s="5"/>
      <c r="J25" s="5"/>
      <c r="K25" s="5"/>
      <c r="L25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74"/>
  <sheetViews>
    <sheetView workbookViewId="0">
      <pane ySplit="1" topLeftCell="A21" activePane="bottomLeft" state="frozen"/>
      <selection pane="bottomLeft" activeCell="U74" sqref="U74"/>
    </sheetView>
  </sheetViews>
  <sheetFormatPr defaultRowHeight="13.2" x14ac:dyDescent="0.25"/>
  <cols>
    <col min="2" max="2" width="15" customWidth="1"/>
    <col min="11" max="11" width="15.88671875" customWidth="1"/>
    <col min="12" max="12" width="13.88671875" style="2" customWidth="1"/>
  </cols>
  <sheetData>
    <row r="1" spans="1:20" x14ac:dyDescent="0.25">
      <c r="A1" s="1" t="s">
        <v>163</v>
      </c>
      <c r="B1" s="1" t="s">
        <v>164</v>
      </c>
      <c r="C1" s="1" t="s">
        <v>165</v>
      </c>
      <c r="D1" s="1" t="s">
        <v>166</v>
      </c>
      <c r="E1" s="1" t="s">
        <v>167</v>
      </c>
      <c r="F1" s="1" t="s">
        <v>168</v>
      </c>
      <c r="G1" s="1" t="s">
        <v>169</v>
      </c>
      <c r="H1" s="1" t="s">
        <v>170</v>
      </c>
      <c r="I1" s="1" t="s">
        <v>171</v>
      </c>
      <c r="J1" s="1" t="s">
        <v>172</v>
      </c>
      <c r="K1" t="s">
        <v>173</v>
      </c>
      <c r="L1" s="2" t="s">
        <v>174</v>
      </c>
      <c r="M1" s="1" t="s">
        <v>352</v>
      </c>
      <c r="N1" t="s">
        <v>175</v>
      </c>
      <c r="O1" t="s">
        <v>176</v>
      </c>
      <c r="P1" t="s">
        <v>177</v>
      </c>
      <c r="Q1" t="s">
        <v>178</v>
      </c>
      <c r="R1" t="s">
        <v>0</v>
      </c>
    </row>
    <row r="2" spans="1:20" x14ac:dyDescent="0.25">
      <c r="A2">
        <v>11</v>
      </c>
      <c r="B2" t="s">
        <v>74</v>
      </c>
      <c r="C2">
        <v>69</v>
      </c>
      <c r="D2">
        <v>0</v>
      </c>
      <c r="E2">
        <v>1</v>
      </c>
      <c r="F2">
        <v>10</v>
      </c>
      <c r="G2">
        <v>1</v>
      </c>
      <c r="H2">
        <v>0</v>
      </c>
      <c r="I2">
        <v>0</v>
      </c>
      <c r="J2">
        <v>0</v>
      </c>
      <c r="K2">
        <v>1</v>
      </c>
      <c r="L2" s="2">
        <v>0</v>
      </c>
      <c r="Q2">
        <v>0.98351478576660156</v>
      </c>
      <c r="R2">
        <v>-0.3308618941699441</v>
      </c>
      <c r="T2">
        <v>1</v>
      </c>
    </row>
    <row r="3" spans="1:20" x14ac:dyDescent="0.25">
      <c r="A3">
        <v>12</v>
      </c>
      <c r="B3" t="s">
        <v>179</v>
      </c>
      <c r="C3">
        <v>69</v>
      </c>
      <c r="D3">
        <v>0</v>
      </c>
      <c r="E3">
        <v>1</v>
      </c>
      <c r="F3">
        <v>10</v>
      </c>
      <c r="G3">
        <v>1</v>
      </c>
      <c r="H3">
        <v>0</v>
      </c>
      <c r="I3">
        <v>0</v>
      </c>
      <c r="J3">
        <v>0</v>
      </c>
      <c r="K3">
        <v>1</v>
      </c>
      <c r="L3" s="2">
        <v>0</v>
      </c>
      <c r="Q3">
        <v>0.98241180181503296</v>
      </c>
      <c r="R3">
        <v>-0.33355648842346292</v>
      </c>
    </row>
    <row r="4" spans="1:20" x14ac:dyDescent="0.25">
      <c r="A4">
        <v>13</v>
      </c>
      <c r="B4" t="s">
        <v>180</v>
      </c>
      <c r="C4">
        <v>138</v>
      </c>
      <c r="D4">
        <v>0</v>
      </c>
      <c r="E4">
        <v>1</v>
      </c>
      <c r="F4">
        <v>10</v>
      </c>
      <c r="G4">
        <v>1</v>
      </c>
      <c r="H4">
        <v>0</v>
      </c>
      <c r="I4">
        <v>0</v>
      </c>
      <c r="J4">
        <v>0</v>
      </c>
      <c r="K4">
        <v>1</v>
      </c>
      <c r="L4" s="2">
        <v>0</v>
      </c>
      <c r="Q4">
        <v>1.0028767585754395</v>
      </c>
      <c r="R4">
        <v>-0.36356587653694017</v>
      </c>
    </row>
    <row r="5" spans="1:20" x14ac:dyDescent="0.25">
      <c r="A5">
        <v>21</v>
      </c>
      <c r="B5" t="s">
        <v>181</v>
      </c>
      <c r="C5">
        <v>230</v>
      </c>
      <c r="D5">
        <v>0</v>
      </c>
      <c r="E5">
        <v>1</v>
      </c>
      <c r="F5">
        <v>10</v>
      </c>
      <c r="G5">
        <v>1</v>
      </c>
      <c r="H5">
        <v>0</v>
      </c>
      <c r="I5">
        <v>0</v>
      </c>
      <c r="J5">
        <v>0</v>
      </c>
      <c r="K5">
        <v>1</v>
      </c>
      <c r="L5" s="2">
        <v>0</v>
      </c>
      <c r="Q5">
        <v>0.98528659343719482</v>
      </c>
      <c r="R5">
        <v>-0.18662127556226188</v>
      </c>
    </row>
    <row r="6" spans="1:20" x14ac:dyDescent="0.25">
      <c r="A6">
        <v>23</v>
      </c>
      <c r="B6" t="s">
        <v>182</v>
      </c>
      <c r="C6">
        <v>24</v>
      </c>
      <c r="D6">
        <v>0</v>
      </c>
      <c r="E6">
        <v>1</v>
      </c>
      <c r="F6">
        <v>10</v>
      </c>
      <c r="G6">
        <v>1</v>
      </c>
      <c r="H6">
        <v>1</v>
      </c>
      <c r="I6">
        <v>0</v>
      </c>
      <c r="J6">
        <v>0</v>
      </c>
      <c r="K6">
        <v>1</v>
      </c>
      <c r="L6" s="2">
        <v>0</v>
      </c>
      <c r="Q6">
        <v>1</v>
      </c>
      <c r="R6">
        <v>-0.16801997795483997</v>
      </c>
    </row>
    <row r="7" spans="1:20" x14ac:dyDescent="0.25">
      <c r="A7">
        <v>31</v>
      </c>
      <c r="B7" t="s">
        <v>183</v>
      </c>
      <c r="C7">
        <v>230</v>
      </c>
      <c r="D7">
        <v>0</v>
      </c>
      <c r="E7">
        <v>1</v>
      </c>
      <c r="F7">
        <v>10</v>
      </c>
      <c r="G7">
        <v>1</v>
      </c>
      <c r="H7">
        <v>0</v>
      </c>
      <c r="I7">
        <v>0</v>
      </c>
      <c r="J7">
        <v>0</v>
      </c>
      <c r="K7">
        <v>1</v>
      </c>
      <c r="L7" s="2">
        <v>0</v>
      </c>
      <c r="Q7">
        <v>0.98286324739456177</v>
      </c>
      <c r="R7">
        <v>-0.17796406560754652</v>
      </c>
    </row>
    <row r="8" spans="1:20" x14ac:dyDescent="0.25">
      <c r="A8">
        <v>32</v>
      </c>
      <c r="B8" t="s">
        <v>184</v>
      </c>
      <c r="C8">
        <v>230</v>
      </c>
      <c r="D8">
        <v>0</v>
      </c>
      <c r="E8">
        <v>1</v>
      </c>
      <c r="F8">
        <v>10</v>
      </c>
      <c r="G8">
        <v>1</v>
      </c>
      <c r="H8">
        <v>0</v>
      </c>
      <c r="I8">
        <v>0</v>
      </c>
      <c r="J8">
        <v>0</v>
      </c>
      <c r="K8">
        <v>1</v>
      </c>
      <c r="L8" s="2">
        <v>0</v>
      </c>
      <c r="Q8">
        <v>0.98286324739456177</v>
      </c>
      <c r="R8">
        <v>-0.17796406561653508</v>
      </c>
    </row>
    <row r="9" spans="1:20" x14ac:dyDescent="0.25">
      <c r="A9">
        <v>41</v>
      </c>
      <c r="B9" t="s">
        <v>185</v>
      </c>
      <c r="C9">
        <v>230</v>
      </c>
      <c r="D9">
        <v>0</v>
      </c>
      <c r="E9">
        <v>1</v>
      </c>
      <c r="F9">
        <v>10</v>
      </c>
      <c r="G9">
        <v>1</v>
      </c>
      <c r="H9">
        <v>0</v>
      </c>
      <c r="I9">
        <v>0</v>
      </c>
      <c r="J9">
        <v>0</v>
      </c>
      <c r="K9">
        <v>1</v>
      </c>
      <c r="L9" s="2">
        <v>0</v>
      </c>
      <c r="Q9">
        <v>0.99866771697998047</v>
      </c>
      <c r="R9">
        <v>-9.1453940890758575E-2</v>
      </c>
    </row>
    <row r="10" spans="1:20" x14ac:dyDescent="0.25">
      <c r="A10">
        <v>43</v>
      </c>
      <c r="B10" t="s">
        <v>186</v>
      </c>
      <c r="C10">
        <v>24</v>
      </c>
      <c r="D10">
        <v>0</v>
      </c>
      <c r="E10">
        <v>1</v>
      </c>
      <c r="F10">
        <v>10</v>
      </c>
      <c r="G10">
        <v>1</v>
      </c>
      <c r="H10">
        <v>1</v>
      </c>
      <c r="I10">
        <v>0</v>
      </c>
      <c r="J10">
        <v>0</v>
      </c>
      <c r="K10">
        <v>1</v>
      </c>
      <c r="L10" s="2">
        <v>0</v>
      </c>
      <c r="Q10">
        <v>1</v>
      </c>
      <c r="R10">
        <v>-8.5205814054935533E-2</v>
      </c>
    </row>
    <row r="11" spans="1:20" x14ac:dyDescent="0.25">
      <c r="A11">
        <v>51</v>
      </c>
      <c r="B11" t="s">
        <v>75</v>
      </c>
      <c r="C11">
        <v>69</v>
      </c>
      <c r="D11">
        <v>0</v>
      </c>
      <c r="E11">
        <v>1</v>
      </c>
      <c r="F11">
        <v>10</v>
      </c>
      <c r="G11">
        <v>1</v>
      </c>
      <c r="H11">
        <v>0</v>
      </c>
      <c r="I11">
        <v>0</v>
      </c>
      <c r="J11">
        <v>0</v>
      </c>
      <c r="K11">
        <v>1</v>
      </c>
      <c r="L11" s="2">
        <v>0</v>
      </c>
      <c r="Q11">
        <v>0.95509618520736694</v>
      </c>
      <c r="R11">
        <v>-0.69659875320994813</v>
      </c>
    </row>
    <row r="12" spans="1:20" x14ac:dyDescent="0.25">
      <c r="A12">
        <v>52</v>
      </c>
      <c r="B12" t="s">
        <v>187</v>
      </c>
      <c r="C12">
        <v>69</v>
      </c>
      <c r="D12">
        <v>0</v>
      </c>
      <c r="E12">
        <v>1</v>
      </c>
      <c r="F12">
        <v>10</v>
      </c>
      <c r="G12">
        <v>1</v>
      </c>
      <c r="H12">
        <v>0</v>
      </c>
      <c r="I12">
        <v>0</v>
      </c>
      <c r="J12">
        <v>0</v>
      </c>
      <c r="K12">
        <v>1</v>
      </c>
      <c r="L12" s="2">
        <v>0</v>
      </c>
      <c r="Q12">
        <v>0.98582547903060913</v>
      </c>
      <c r="R12">
        <v>-0.29842482930002795</v>
      </c>
    </row>
    <row r="13" spans="1:20" x14ac:dyDescent="0.25">
      <c r="A13">
        <v>61</v>
      </c>
      <c r="B13" t="s">
        <v>188</v>
      </c>
      <c r="C13">
        <v>33</v>
      </c>
      <c r="D13">
        <v>0</v>
      </c>
      <c r="E13">
        <v>1</v>
      </c>
      <c r="F13">
        <v>10</v>
      </c>
      <c r="G13">
        <v>1</v>
      </c>
      <c r="H13">
        <v>0</v>
      </c>
      <c r="I13">
        <v>0</v>
      </c>
      <c r="J13">
        <v>0</v>
      </c>
      <c r="K13">
        <v>1</v>
      </c>
      <c r="L13" s="2">
        <v>0</v>
      </c>
      <c r="Q13">
        <v>0.9162483811378479</v>
      </c>
      <c r="R13">
        <v>-0.66974442211430896</v>
      </c>
    </row>
    <row r="14" spans="1:20" x14ac:dyDescent="0.25">
      <c r="A14">
        <v>62</v>
      </c>
      <c r="B14" t="s">
        <v>189</v>
      </c>
      <c r="C14">
        <v>33</v>
      </c>
      <c r="D14">
        <v>0</v>
      </c>
      <c r="E14">
        <v>1</v>
      </c>
      <c r="F14">
        <v>10</v>
      </c>
      <c r="G14">
        <v>1</v>
      </c>
      <c r="H14">
        <v>0</v>
      </c>
      <c r="I14">
        <v>0</v>
      </c>
      <c r="J14">
        <v>0</v>
      </c>
      <c r="K14">
        <v>1</v>
      </c>
      <c r="L14" s="2">
        <v>0</v>
      </c>
      <c r="Q14">
        <v>0.91923660039901733</v>
      </c>
      <c r="R14">
        <v>-0.66082629265028325</v>
      </c>
    </row>
    <row r="15" spans="1:20" x14ac:dyDescent="0.25">
      <c r="A15">
        <v>75</v>
      </c>
      <c r="B15" t="s">
        <v>190</v>
      </c>
      <c r="C15">
        <v>69</v>
      </c>
      <c r="D15">
        <v>0</v>
      </c>
      <c r="E15">
        <v>1</v>
      </c>
      <c r="F15">
        <v>10</v>
      </c>
      <c r="G15">
        <v>1</v>
      </c>
      <c r="H15">
        <v>0</v>
      </c>
      <c r="I15">
        <v>0</v>
      </c>
      <c r="J15">
        <v>0</v>
      </c>
      <c r="K15">
        <v>1</v>
      </c>
      <c r="L15" s="2">
        <v>0</v>
      </c>
      <c r="Q15">
        <v>0.97718071937561035</v>
      </c>
      <c r="R15">
        <v>-0.38038705159024261</v>
      </c>
    </row>
    <row r="16" spans="1:20" x14ac:dyDescent="0.25">
      <c r="A16">
        <v>77</v>
      </c>
      <c r="B16" t="s">
        <v>191</v>
      </c>
      <c r="C16">
        <v>69</v>
      </c>
      <c r="D16">
        <v>0</v>
      </c>
      <c r="E16">
        <v>1</v>
      </c>
      <c r="F16">
        <v>10</v>
      </c>
      <c r="G16">
        <v>1</v>
      </c>
      <c r="H16">
        <v>0</v>
      </c>
      <c r="I16">
        <v>0</v>
      </c>
      <c r="J16">
        <v>0</v>
      </c>
      <c r="K16">
        <v>1</v>
      </c>
      <c r="L16" s="2">
        <v>0</v>
      </c>
      <c r="Q16">
        <v>0.97809082269668579</v>
      </c>
      <c r="R16">
        <v>-0.4084898405671249</v>
      </c>
    </row>
    <row r="17" spans="1:18" x14ac:dyDescent="0.25">
      <c r="A17">
        <v>81</v>
      </c>
      <c r="B17" t="s">
        <v>192</v>
      </c>
      <c r="C17">
        <v>69</v>
      </c>
      <c r="D17">
        <v>0</v>
      </c>
      <c r="E17">
        <v>1</v>
      </c>
      <c r="F17">
        <v>10</v>
      </c>
      <c r="G17">
        <v>1</v>
      </c>
      <c r="H17">
        <v>0</v>
      </c>
      <c r="I17">
        <v>0</v>
      </c>
      <c r="J17">
        <v>0</v>
      </c>
      <c r="K17">
        <v>1</v>
      </c>
      <c r="L17" s="2">
        <v>0</v>
      </c>
      <c r="Q17">
        <v>0.96785444021224976</v>
      </c>
      <c r="R17">
        <v>-0.44839079782633973</v>
      </c>
    </row>
    <row r="18" spans="1:18" x14ac:dyDescent="0.25">
      <c r="A18">
        <v>91</v>
      </c>
      <c r="B18" t="s">
        <v>193</v>
      </c>
      <c r="C18">
        <v>230</v>
      </c>
      <c r="D18">
        <v>0</v>
      </c>
      <c r="E18">
        <v>1</v>
      </c>
      <c r="F18">
        <v>10</v>
      </c>
      <c r="G18">
        <v>1</v>
      </c>
      <c r="H18">
        <v>0</v>
      </c>
      <c r="I18">
        <v>0</v>
      </c>
      <c r="J18">
        <v>0</v>
      </c>
      <c r="K18">
        <v>1</v>
      </c>
      <c r="L18" s="2">
        <v>0</v>
      </c>
      <c r="Q18">
        <v>0.9992792010307312</v>
      </c>
      <c r="R18">
        <v>2.9211699227284272E-2</v>
      </c>
    </row>
    <row r="19" spans="1:18" x14ac:dyDescent="0.25">
      <c r="A19">
        <v>93</v>
      </c>
      <c r="B19" t="s">
        <v>194</v>
      </c>
      <c r="C19">
        <v>24</v>
      </c>
      <c r="D19">
        <v>0</v>
      </c>
      <c r="E19">
        <v>1</v>
      </c>
      <c r="F19">
        <v>10</v>
      </c>
      <c r="G19">
        <v>1</v>
      </c>
      <c r="H19">
        <v>1</v>
      </c>
      <c r="I19">
        <v>0</v>
      </c>
      <c r="J19">
        <v>0</v>
      </c>
      <c r="K19">
        <v>1</v>
      </c>
      <c r="L19" s="2">
        <v>0</v>
      </c>
      <c r="Q19">
        <v>1</v>
      </c>
      <c r="R19">
        <v>5.9377382897328218E-2</v>
      </c>
    </row>
    <row r="20" spans="1:18" x14ac:dyDescent="0.25">
      <c r="A20">
        <v>94</v>
      </c>
      <c r="B20" t="s">
        <v>195</v>
      </c>
      <c r="C20">
        <v>24</v>
      </c>
      <c r="D20">
        <v>0</v>
      </c>
      <c r="E20">
        <v>1</v>
      </c>
      <c r="F20">
        <v>10</v>
      </c>
      <c r="G20">
        <v>1</v>
      </c>
      <c r="H20">
        <v>1</v>
      </c>
      <c r="I20">
        <v>0</v>
      </c>
      <c r="J20">
        <v>0</v>
      </c>
      <c r="K20">
        <v>1</v>
      </c>
      <c r="L20" s="2">
        <v>0</v>
      </c>
      <c r="Q20">
        <v>1</v>
      </c>
      <c r="R20">
        <v>5.9607649887989826E-2</v>
      </c>
    </row>
    <row r="21" spans="1:18" x14ac:dyDescent="0.25">
      <c r="A21">
        <v>101</v>
      </c>
      <c r="B21" t="s">
        <v>196</v>
      </c>
      <c r="C21">
        <v>230</v>
      </c>
      <c r="D21">
        <v>0</v>
      </c>
      <c r="E21">
        <v>1</v>
      </c>
      <c r="F21">
        <v>10</v>
      </c>
      <c r="G21">
        <v>1</v>
      </c>
      <c r="H21">
        <v>0</v>
      </c>
      <c r="I21">
        <v>0</v>
      </c>
      <c r="J21">
        <v>0</v>
      </c>
      <c r="K21">
        <v>1</v>
      </c>
      <c r="L21" s="2">
        <v>0</v>
      </c>
      <c r="Q21">
        <v>0.98998892307281494</v>
      </c>
      <c r="R21">
        <v>-1.901628926231267E-2</v>
      </c>
    </row>
    <row r="22" spans="1:18" x14ac:dyDescent="0.25">
      <c r="A22">
        <v>111</v>
      </c>
      <c r="B22" t="s">
        <v>197</v>
      </c>
      <c r="C22">
        <v>230</v>
      </c>
      <c r="D22">
        <v>0</v>
      </c>
      <c r="E22">
        <v>1</v>
      </c>
      <c r="F22">
        <v>10</v>
      </c>
      <c r="G22">
        <v>1</v>
      </c>
      <c r="H22">
        <v>0</v>
      </c>
      <c r="I22">
        <v>0</v>
      </c>
      <c r="J22">
        <v>0</v>
      </c>
      <c r="K22">
        <v>1</v>
      </c>
      <c r="L22" s="2">
        <v>0</v>
      </c>
      <c r="Q22">
        <v>0.99857723712921143</v>
      </c>
      <c r="R22">
        <v>3.5529779670090106E-2</v>
      </c>
    </row>
    <row r="23" spans="1:18" x14ac:dyDescent="0.25">
      <c r="A23">
        <v>113</v>
      </c>
      <c r="B23" t="s">
        <v>198</v>
      </c>
      <c r="C23">
        <v>138</v>
      </c>
      <c r="D23">
        <v>0</v>
      </c>
      <c r="E23">
        <v>1</v>
      </c>
      <c r="F23">
        <v>10</v>
      </c>
      <c r="G23">
        <v>1</v>
      </c>
      <c r="H23">
        <v>0</v>
      </c>
      <c r="I23">
        <v>0</v>
      </c>
      <c r="J23">
        <v>0</v>
      </c>
      <c r="K23">
        <v>1</v>
      </c>
      <c r="L23" s="2">
        <v>0</v>
      </c>
      <c r="Q23">
        <v>0.99725013971328735</v>
      </c>
      <c r="R23">
        <v>0.19470696785308012</v>
      </c>
    </row>
    <row r="24" spans="1:18" x14ac:dyDescent="0.25">
      <c r="A24">
        <v>114</v>
      </c>
      <c r="B24" t="s">
        <v>199</v>
      </c>
      <c r="C24">
        <v>24</v>
      </c>
      <c r="D24">
        <v>0</v>
      </c>
      <c r="E24">
        <v>1</v>
      </c>
      <c r="F24">
        <v>10</v>
      </c>
      <c r="G24">
        <v>1</v>
      </c>
      <c r="H24">
        <v>1</v>
      </c>
      <c r="I24">
        <v>0</v>
      </c>
      <c r="J24">
        <v>0</v>
      </c>
      <c r="K24">
        <v>1</v>
      </c>
      <c r="L24" s="2">
        <v>0</v>
      </c>
      <c r="Q24">
        <v>1</v>
      </c>
      <c r="R24">
        <v>0.22966803226805815</v>
      </c>
    </row>
    <row r="25" spans="1:18" x14ac:dyDescent="0.25">
      <c r="A25">
        <v>121</v>
      </c>
      <c r="B25" t="s">
        <v>200</v>
      </c>
      <c r="C25">
        <v>230</v>
      </c>
      <c r="D25">
        <v>0</v>
      </c>
      <c r="E25">
        <v>1</v>
      </c>
      <c r="F25">
        <v>10</v>
      </c>
      <c r="G25">
        <v>1</v>
      </c>
      <c r="H25">
        <v>0</v>
      </c>
      <c r="I25">
        <v>0</v>
      </c>
      <c r="J25">
        <v>0</v>
      </c>
      <c r="K25">
        <v>1</v>
      </c>
      <c r="L25" s="2">
        <v>0</v>
      </c>
      <c r="Q25">
        <v>0.99185562133789063</v>
      </c>
      <c r="R25">
        <v>-2.0779341647512585E-2</v>
      </c>
    </row>
    <row r="26" spans="1:18" x14ac:dyDescent="0.25">
      <c r="A26">
        <v>131</v>
      </c>
      <c r="B26" t="s">
        <v>201</v>
      </c>
      <c r="C26">
        <v>230</v>
      </c>
      <c r="D26">
        <v>0</v>
      </c>
      <c r="E26">
        <v>2</v>
      </c>
      <c r="F26">
        <v>20</v>
      </c>
      <c r="G26">
        <v>1</v>
      </c>
      <c r="H26">
        <v>1</v>
      </c>
      <c r="I26">
        <v>0</v>
      </c>
      <c r="J26">
        <v>0</v>
      </c>
      <c r="K26">
        <v>1</v>
      </c>
      <c r="L26" s="2">
        <v>0</v>
      </c>
      <c r="Q26">
        <v>1</v>
      </c>
      <c r="R26">
        <v>-8.2203589592695345E-2</v>
      </c>
    </row>
    <row r="27" spans="1:18" x14ac:dyDescent="0.25">
      <c r="A27">
        <v>137</v>
      </c>
      <c r="B27" t="s">
        <v>202</v>
      </c>
      <c r="C27">
        <v>230</v>
      </c>
      <c r="D27">
        <v>0</v>
      </c>
      <c r="E27">
        <v>2</v>
      </c>
      <c r="F27">
        <v>20</v>
      </c>
      <c r="G27">
        <v>1</v>
      </c>
      <c r="H27">
        <v>1</v>
      </c>
      <c r="I27">
        <v>0</v>
      </c>
      <c r="J27">
        <v>0</v>
      </c>
      <c r="K27">
        <v>1</v>
      </c>
      <c r="L27" s="2">
        <v>0</v>
      </c>
      <c r="Q27">
        <v>1</v>
      </c>
      <c r="R27">
        <v>-0.15539848230823278</v>
      </c>
    </row>
    <row r="28" spans="1:18" x14ac:dyDescent="0.25">
      <c r="A28">
        <v>133</v>
      </c>
      <c r="B28" t="s">
        <v>203</v>
      </c>
      <c r="C28">
        <v>230</v>
      </c>
      <c r="D28">
        <v>0</v>
      </c>
      <c r="E28">
        <v>2</v>
      </c>
      <c r="F28">
        <v>20</v>
      </c>
      <c r="G28">
        <v>1</v>
      </c>
      <c r="H28">
        <v>1</v>
      </c>
      <c r="I28">
        <v>0</v>
      </c>
      <c r="J28">
        <v>0</v>
      </c>
      <c r="K28">
        <v>1</v>
      </c>
      <c r="L28" s="2">
        <v>0</v>
      </c>
      <c r="Q28">
        <v>1</v>
      </c>
      <c r="R28">
        <v>-0.18706561670767477</v>
      </c>
    </row>
    <row r="29" spans="1:18" x14ac:dyDescent="0.25">
      <c r="A29">
        <v>139</v>
      </c>
      <c r="B29" t="s">
        <v>204</v>
      </c>
      <c r="C29">
        <v>230</v>
      </c>
      <c r="D29">
        <v>0</v>
      </c>
      <c r="E29">
        <v>2</v>
      </c>
      <c r="F29">
        <v>20</v>
      </c>
      <c r="G29">
        <v>1</v>
      </c>
      <c r="H29">
        <v>1</v>
      </c>
      <c r="I29">
        <v>0</v>
      </c>
      <c r="J29">
        <v>0</v>
      </c>
      <c r="K29">
        <v>1</v>
      </c>
      <c r="L29" s="2">
        <v>0</v>
      </c>
      <c r="Q29">
        <v>1</v>
      </c>
      <c r="R29">
        <v>-5.1628941608796393E-2</v>
      </c>
    </row>
    <row r="30" spans="1:18" x14ac:dyDescent="0.25">
      <c r="A30">
        <v>141</v>
      </c>
      <c r="B30" t="s">
        <v>205</v>
      </c>
      <c r="C30">
        <v>230</v>
      </c>
      <c r="D30">
        <v>0</v>
      </c>
      <c r="E30">
        <v>1</v>
      </c>
      <c r="F30">
        <v>10</v>
      </c>
      <c r="G30">
        <v>1</v>
      </c>
      <c r="H30">
        <v>0</v>
      </c>
      <c r="I30">
        <v>0</v>
      </c>
      <c r="J30">
        <v>0</v>
      </c>
      <c r="K30">
        <v>1</v>
      </c>
      <c r="L30" s="2">
        <v>0</v>
      </c>
      <c r="Q30">
        <v>0.98930901288986206</v>
      </c>
      <c r="R30">
        <v>9.2289354280587609E-3</v>
      </c>
    </row>
    <row r="31" spans="1:18" x14ac:dyDescent="0.25">
      <c r="A31">
        <v>143</v>
      </c>
      <c r="B31" t="s">
        <v>206</v>
      </c>
      <c r="C31">
        <v>138</v>
      </c>
      <c r="D31">
        <v>0</v>
      </c>
      <c r="E31">
        <v>1</v>
      </c>
      <c r="F31">
        <v>10</v>
      </c>
      <c r="G31">
        <v>1</v>
      </c>
      <c r="H31">
        <v>0</v>
      </c>
      <c r="I31">
        <v>0</v>
      </c>
      <c r="J31">
        <v>0</v>
      </c>
      <c r="K31">
        <v>1</v>
      </c>
      <c r="L31" s="2">
        <v>0</v>
      </c>
      <c r="Q31">
        <v>0.95488095283508301</v>
      </c>
      <c r="R31">
        <v>-0.13102117456202642</v>
      </c>
    </row>
    <row r="32" spans="1:18" x14ac:dyDescent="0.25">
      <c r="A32">
        <v>145</v>
      </c>
      <c r="B32" t="s">
        <v>207</v>
      </c>
      <c r="C32">
        <v>24</v>
      </c>
      <c r="D32">
        <v>0</v>
      </c>
      <c r="E32">
        <v>1</v>
      </c>
      <c r="F32">
        <v>10</v>
      </c>
      <c r="G32">
        <v>1</v>
      </c>
      <c r="H32">
        <v>1</v>
      </c>
      <c r="I32">
        <v>0</v>
      </c>
      <c r="J32">
        <v>0</v>
      </c>
      <c r="K32">
        <v>1</v>
      </c>
      <c r="L32" s="2">
        <v>0</v>
      </c>
      <c r="Q32">
        <v>1</v>
      </c>
      <c r="R32">
        <v>9.0931304011737948E-2</v>
      </c>
    </row>
    <row r="33" spans="1:18" x14ac:dyDescent="0.25">
      <c r="A33">
        <v>151</v>
      </c>
      <c r="B33" t="s">
        <v>208</v>
      </c>
      <c r="C33">
        <v>230</v>
      </c>
      <c r="D33">
        <v>0</v>
      </c>
      <c r="E33">
        <v>1</v>
      </c>
      <c r="F33">
        <v>10</v>
      </c>
      <c r="G33">
        <v>1</v>
      </c>
      <c r="H33">
        <v>0</v>
      </c>
      <c r="I33">
        <v>0</v>
      </c>
      <c r="J33">
        <v>0</v>
      </c>
      <c r="K33">
        <v>1</v>
      </c>
      <c r="L33" s="2">
        <v>0</v>
      </c>
      <c r="Q33">
        <v>0.95643550157546997</v>
      </c>
      <c r="R33">
        <v>-0.18131798717106926</v>
      </c>
    </row>
    <row r="34" spans="1:18" x14ac:dyDescent="0.25">
      <c r="A34">
        <v>152</v>
      </c>
      <c r="B34" t="s">
        <v>209</v>
      </c>
      <c r="C34">
        <v>230</v>
      </c>
      <c r="D34">
        <v>0</v>
      </c>
      <c r="E34">
        <v>1</v>
      </c>
      <c r="F34">
        <v>10</v>
      </c>
      <c r="G34">
        <v>1</v>
      </c>
      <c r="H34">
        <v>0</v>
      </c>
      <c r="I34">
        <v>0</v>
      </c>
      <c r="J34">
        <v>0</v>
      </c>
      <c r="K34">
        <v>1</v>
      </c>
      <c r="L34" s="2">
        <v>0</v>
      </c>
      <c r="Q34">
        <v>0.95643550157546997</v>
      </c>
      <c r="R34">
        <v>-0.18131798722614981</v>
      </c>
    </row>
    <row r="35" spans="1:18" x14ac:dyDescent="0.25">
      <c r="A35">
        <v>153</v>
      </c>
      <c r="B35" t="s">
        <v>357</v>
      </c>
      <c r="C35">
        <v>24</v>
      </c>
      <c r="D35">
        <v>0</v>
      </c>
      <c r="E35">
        <v>1</v>
      </c>
      <c r="F35">
        <v>10</v>
      </c>
      <c r="G35">
        <v>1</v>
      </c>
      <c r="H35">
        <v>0</v>
      </c>
      <c r="I35">
        <v>0</v>
      </c>
      <c r="J35">
        <v>0</v>
      </c>
      <c r="K35">
        <v>1</v>
      </c>
      <c r="L35" s="2">
        <v>0</v>
      </c>
      <c r="Q35">
        <v>0.95643550157546997</v>
      </c>
      <c r="R35">
        <v>-0.18131798717106926</v>
      </c>
    </row>
    <row r="36" spans="1:18" x14ac:dyDescent="0.25">
      <c r="A36">
        <v>161</v>
      </c>
      <c r="B36" t="s">
        <v>210</v>
      </c>
      <c r="C36">
        <v>230</v>
      </c>
      <c r="D36">
        <v>0</v>
      </c>
      <c r="E36">
        <v>1</v>
      </c>
      <c r="F36">
        <v>10</v>
      </c>
      <c r="G36">
        <v>1</v>
      </c>
      <c r="H36">
        <v>0</v>
      </c>
      <c r="I36">
        <v>0</v>
      </c>
      <c r="J36">
        <v>0</v>
      </c>
      <c r="K36">
        <v>1</v>
      </c>
      <c r="L36" s="2">
        <v>0</v>
      </c>
      <c r="Q36">
        <v>0.99079221487045288</v>
      </c>
      <c r="R36">
        <v>-0.20442567259198827</v>
      </c>
    </row>
    <row r="37" spans="1:18" x14ac:dyDescent="0.25">
      <c r="A37">
        <v>163</v>
      </c>
      <c r="B37" t="s">
        <v>211</v>
      </c>
      <c r="C37">
        <v>138</v>
      </c>
      <c r="D37">
        <v>0</v>
      </c>
      <c r="E37">
        <v>1</v>
      </c>
      <c r="F37">
        <v>10</v>
      </c>
      <c r="G37">
        <v>1</v>
      </c>
      <c r="H37">
        <v>0</v>
      </c>
      <c r="I37">
        <v>0</v>
      </c>
      <c r="J37">
        <v>0</v>
      </c>
      <c r="K37">
        <v>1</v>
      </c>
      <c r="L37" s="2">
        <v>0</v>
      </c>
      <c r="Q37">
        <v>0.97210198640823364</v>
      </c>
      <c r="R37">
        <v>-0.27495141114708538</v>
      </c>
    </row>
    <row r="38" spans="1:18" x14ac:dyDescent="0.25">
      <c r="A38">
        <v>164</v>
      </c>
      <c r="B38" t="s">
        <v>212</v>
      </c>
      <c r="C38">
        <v>24</v>
      </c>
      <c r="D38">
        <v>0</v>
      </c>
      <c r="E38">
        <v>1</v>
      </c>
      <c r="F38">
        <v>10</v>
      </c>
      <c r="G38">
        <v>1</v>
      </c>
      <c r="H38">
        <v>1</v>
      </c>
      <c r="I38">
        <v>0</v>
      </c>
      <c r="J38">
        <v>0</v>
      </c>
      <c r="K38">
        <v>1</v>
      </c>
      <c r="L38" s="2">
        <v>0</v>
      </c>
      <c r="Q38">
        <v>1</v>
      </c>
      <c r="R38">
        <v>-0.18552642810231845</v>
      </c>
    </row>
    <row r="39" spans="1:18" x14ac:dyDescent="0.25">
      <c r="A39">
        <v>171</v>
      </c>
      <c r="B39" t="s">
        <v>82</v>
      </c>
      <c r="C39">
        <v>230</v>
      </c>
      <c r="D39">
        <v>0</v>
      </c>
      <c r="E39">
        <v>1</v>
      </c>
      <c r="F39">
        <v>10</v>
      </c>
      <c r="G39">
        <v>1</v>
      </c>
      <c r="H39">
        <v>0</v>
      </c>
      <c r="I39">
        <v>0</v>
      </c>
      <c r="J39">
        <v>0</v>
      </c>
      <c r="K39">
        <v>1</v>
      </c>
      <c r="L39" s="2">
        <v>0</v>
      </c>
      <c r="Q39">
        <v>0.97965794801712036</v>
      </c>
      <c r="R39">
        <v>-0.23013733718663146</v>
      </c>
    </row>
    <row r="40" spans="1:18" x14ac:dyDescent="0.25">
      <c r="A40">
        <v>173</v>
      </c>
      <c r="B40" t="s">
        <v>213</v>
      </c>
      <c r="C40">
        <v>69</v>
      </c>
      <c r="D40">
        <v>0</v>
      </c>
      <c r="E40">
        <v>1</v>
      </c>
      <c r="F40">
        <v>10</v>
      </c>
      <c r="G40">
        <v>1</v>
      </c>
      <c r="H40">
        <v>0</v>
      </c>
      <c r="I40">
        <v>0</v>
      </c>
      <c r="J40">
        <v>0</v>
      </c>
      <c r="K40">
        <v>1</v>
      </c>
      <c r="L40" s="2">
        <v>0</v>
      </c>
      <c r="Q40">
        <v>0.97739684581756592</v>
      </c>
      <c r="R40">
        <v>-0.27451913547608792</v>
      </c>
    </row>
    <row r="41" spans="1:18" x14ac:dyDescent="0.25">
      <c r="A41">
        <v>174</v>
      </c>
      <c r="B41" t="s">
        <v>214</v>
      </c>
      <c r="C41">
        <v>69</v>
      </c>
      <c r="D41">
        <v>0</v>
      </c>
      <c r="E41">
        <v>1</v>
      </c>
      <c r="F41">
        <v>10</v>
      </c>
      <c r="G41">
        <v>1</v>
      </c>
      <c r="H41">
        <v>0</v>
      </c>
      <c r="I41">
        <v>0</v>
      </c>
      <c r="J41">
        <v>0</v>
      </c>
      <c r="K41">
        <v>1</v>
      </c>
      <c r="L41" s="2">
        <v>0</v>
      </c>
      <c r="Q41">
        <v>0.97882509231567383</v>
      </c>
      <c r="R41">
        <v>-0.31123266563110175</v>
      </c>
    </row>
    <row r="42" spans="1:18" x14ac:dyDescent="0.25">
      <c r="A42">
        <v>181</v>
      </c>
      <c r="B42" t="s">
        <v>83</v>
      </c>
      <c r="C42">
        <v>230</v>
      </c>
      <c r="D42">
        <v>0</v>
      </c>
      <c r="E42">
        <v>1</v>
      </c>
      <c r="F42">
        <v>10</v>
      </c>
      <c r="G42">
        <v>1</v>
      </c>
      <c r="H42">
        <v>0</v>
      </c>
      <c r="I42">
        <v>0</v>
      </c>
      <c r="J42">
        <v>0</v>
      </c>
      <c r="K42">
        <v>1</v>
      </c>
      <c r="L42" s="2">
        <v>0</v>
      </c>
      <c r="Q42">
        <v>0.98725062608718872</v>
      </c>
      <c r="R42">
        <v>-0.25446773890023133</v>
      </c>
    </row>
    <row r="43" spans="1:18" x14ac:dyDescent="0.25">
      <c r="A43">
        <v>182</v>
      </c>
      <c r="B43" t="s">
        <v>215</v>
      </c>
      <c r="C43">
        <v>138</v>
      </c>
      <c r="D43">
        <v>0</v>
      </c>
      <c r="E43">
        <v>1</v>
      </c>
      <c r="F43">
        <v>10</v>
      </c>
      <c r="G43">
        <v>1</v>
      </c>
      <c r="H43">
        <v>0</v>
      </c>
      <c r="I43">
        <v>0</v>
      </c>
      <c r="J43">
        <v>0</v>
      </c>
      <c r="K43">
        <v>1</v>
      </c>
      <c r="L43" s="2">
        <v>0</v>
      </c>
      <c r="Q43">
        <v>0.99970287084579468</v>
      </c>
      <c r="R43">
        <v>-0.33485018995912974</v>
      </c>
    </row>
    <row r="44" spans="1:18" x14ac:dyDescent="0.25">
      <c r="A44">
        <v>183</v>
      </c>
      <c r="B44" t="s">
        <v>216</v>
      </c>
      <c r="C44">
        <v>138</v>
      </c>
      <c r="D44">
        <v>0</v>
      </c>
      <c r="E44">
        <v>1</v>
      </c>
      <c r="F44">
        <v>10</v>
      </c>
      <c r="G44">
        <v>1</v>
      </c>
      <c r="H44">
        <v>0</v>
      </c>
      <c r="I44">
        <v>0</v>
      </c>
      <c r="J44">
        <v>0</v>
      </c>
      <c r="K44">
        <v>1</v>
      </c>
      <c r="L44" s="2">
        <v>0</v>
      </c>
      <c r="Q44">
        <v>0.99972820281982422</v>
      </c>
      <c r="R44">
        <v>-0.33537105867438555</v>
      </c>
    </row>
    <row r="45" spans="1:18" x14ac:dyDescent="0.25">
      <c r="A45">
        <v>191</v>
      </c>
      <c r="B45" t="s">
        <v>217</v>
      </c>
      <c r="C45">
        <v>230</v>
      </c>
      <c r="D45">
        <v>0</v>
      </c>
      <c r="E45">
        <v>1</v>
      </c>
      <c r="F45">
        <v>10</v>
      </c>
      <c r="G45">
        <v>1</v>
      </c>
      <c r="H45">
        <v>0</v>
      </c>
      <c r="I45">
        <v>0</v>
      </c>
      <c r="J45">
        <v>0</v>
      </c>
      <c r="K45">
        <v>1</v>
      </c>
      <c r="L45" s="2">
        <v>0</v>
      </c>
      <c r="Q45">
        <v>0.99134296178817749</v>
      </c>
      <c r="R45">
        <v>-0.12273447568829446</v>
      </c>
    </row>
    <row r="46" spans="1:18" x14ac:dyDescent="0.25">
      <c r="A46">
        <v>193</v>
      </c>
      <c r="B46" t="s">
        <v>218</v>
      </c>
      <c r="C46">
        <v>24</v>
      </c>
      <c r="D46">
        <v>0</v>
      </c>
      <c r="E46">
        <v>1</v>
      </c>
      <c r="F46">
        <v>10</v>
      </c>
      <c r="G46">
        <v>1</v>
      </c>
      <c r="H46">
        <v>2</v>
      </c>
      <c r="I46">
        <v>0</v>
      </c>
      <c r="J46">
        <v>0</v>
      </c>
      <c r="K46">
        <v>1</v>
      </c>
      <c r="L46" s="2">
        <v>0</v>
      </c>
      <c r="Q46">
        <v>1</v>
      </c>
      <c r="R46">
        <v>0</v>
      </c>
    </row>
    <row r="47" spans="1:18" x14ac:dyDescent="0.25">
      <c r="A47">
        <v>201</v>
      </c>
      <c r="B47" t="s">
        <v>219</v>
      </c>
      <c r="C47">
        <v>230</v>
      </c>
      <c r="D47">
        <v>0</v>
      </c>
      <c r="E47">
        <v>1</v>
      </c>
      <c r="F47">
        <v>10</v>
      </c>
      <c r="G47">
        <v>1</v>
      </c>
      <c r="H47">
        <v>0</v>
      </c>
      <c r="I47">
        <v>0</v>
      </c>
      <c r="J47">
        <v>0</v>
      </c>
      <c r="K47">
        <v>1</v>
      </c>
      <c r="L47" s="2">
        <v>0</v>
      </c>
      <c r="Q47">
        <v>0.97981160879135132</v>
      </c>
      <c r="R47">
        <v>-0.23456312962333423</v>
      </c>
    </row>
    <row r="48" spans="1:18" x14ac:dyDescent="0.25">
      <c r="A48">
        <v>203</v>
      </c>
      <c r="B48" t="s">
        <v>220</v>
      </c>
      <c r="C48">
        <v>69</v>
      </c>
      <c r="D48">
        <v>0</v>
      </c>
      <c r="E48">
        <v>1</v>
      </c>
      <c r="F48">
        <v>10</v>
      </c>
      <c r="G48">
        <v>1</v>
      </c>
      <c r="H48">
        <v>0</v>
      </c>
      <c r="I48">
        <v>0</v>
      </c>
      <c r="J48">
        <v>0</v>
      </c>
      <c r="K48">
        <v>1</v>
      </c>
      <c r="L48" s="2">
        <v>0</v>
      </c>
      <c r="Q48">
        <v>0.98216468095779419</v>
      </c>
      <c r="R48">
        <v>-0.31673734780552698</v>
      </c>
    </row>
    <row r="49" spans="1:18" x14ac:dyDescent="0.25">
      <c r="A49">
        <v>211</v>
      </c>
      <c r="B49" t="s">
        <v>221</v>
      </c>
      <c r="C49">
        <v>230</v>
      </c>
      <c r="D49">
        <v>0</v>
      </c>
      <c r="E49">
        <v>1</v>
      </c>
      <c r="F49">
        <v>10</v>
      </c>
      <c r="G49">
        <v>1</v>
      </c>
      <c r="H49">
        <v>0</v>
      </c>
      <c r="I49">
        <v>0</v>
      </c>
      <c r="J49">
        <v>0</v>
      </c>
      <c r="K49">
        <v>1</v>
      </c>
      <c r="L49" s="2">
        <v>0</v>
      </c>
      <c r="Q49">
        <v>0.96964174509048462</v>
      </c>
      <c r="R49">
        <v>-0.3184815212199712</v>
      </c>
    </row>
    <row r="50" spans="1:18" x14ac:dyDescent="0.25">
      <c r="A50">
        <v>212</v>
      </c>
      <c r="B50" t="s">
        <v>222</v>
      </c>
      <c r="C50">
        <v>69</v>
      </c>
      <c r="D50">
        <v>0</v>
      </c>
      <c r="E50">
        <v>1</v>
      </c>
      <c r="F50">
        <v>10</v>
      </c>
      <c r="G50">
        <v>1</v>
      </c>
      <c r="H50">
        <v>0</v>
      </c>
      <c r="I50">
        <v>0</v>
      </c>
      <c r="J50">
        <v>0</v>
      </c>
      <c r="K50">
        <v>1</v>
      </c>
      <c r="L50" s="2">
        <v>0</v>
      </c>
      <c r="Q50">
        <v>0.97790133953094482</v>
      </c>
      <c r="R50">
        <v>-0.32608968783430869</v>
      </c>
    </row>
    <row r="51" spans="1:18" x14ac:dyDescent="0.25">
      <c r="A51">
        <v>221</v>
      </c>
      <c r="B51" t="s">
        <v>223</v>
      </c>
      <c r="C51">
        <v>230</v>
      </c>
      <c r="D51">
        <v>0</v>
      </c>
      <c r="E51">
        <v>1</v>
      </c>
      <c r="F51">
        <v>10</v>
      </c>
      <c r="G51">
        <v>1</v>
      </c>
      <c r="H51">
        <v>0</v>
      </c>
      <c r="I51">
        <v>0</v>
      </c>
      <c r="J51">
        <v>0</v>
      </c>
      <c r="K51">
        <v>1</v>
      </c>
      <c r="L51" s="2">
        <v>0</v>
      </c>
      <c r="Q51">
        <v>0.97015351057052612</v>
      </c>
      <c r="R51">
        <v>-0.28270634289168012</v>
      </c>
    </row>
    <row r="52" spans="1:18" x14ac:dyDescent="0.25">
      <c r="A52">
        <v>223</v>
      </c>
      <c r="B52" t="s">
        <v>224</v>
      </c>
      <c r="C52">
        <v>69</v>
      </c>
      <c r="D52">
        <v>0</v>
      </c>
      <c r="E52">
        <v>1</v>
      </c>
      <c r="F52">
        <v>10</v>
      </c>
      <c r="G52">
        <v>1</v>
      </c>
      <c r="H52">
        <v>0</v>
      </c>
      <c r="I52">
        <v>0</v>
      </c>
      <c r="J52">
        <v>0</v>
      </c>
      <c r="K52">
        <v>1</v>
      </c>
      <c r="L52" s="2">
        <v>0</v>
      </c>
      <c r="Q52">
        <v>0.97378343343734741</v>
      </c>
      <c r="R52">
        <v>-0.30750145581362137</v>
      </c>
    </row>
    <row r="53" spans="1:18" x14ac:dyDescent="0.25">
      <c r="A53">
        <v>224</v>
      </c>
      <c r="B53" t="s">
        <v>225</v>
      </c>
      <c r="C53">
        <v>69</v>
      </c>
      <c r="D53">
        <v>0</v>
      </c>
      <c r="E53">
        <v>1</v>
      </c>
      <c r="F53">
        <v>10</v>
      </c>
      <c r="G53">
        <v>1</v>
      </c>
      <c r="H53">
        <v>0</v>
      </c>
      <c r="I53">
        <v>0</v>
      </c>
      <c r="J53">
        <v>0</v>
      </c>
      <c r="K53">
        <v>1</v>
      </c>
      <c r="L53" s="2">
        <v>0</v>
      </c>
      <c r="Q53">
        <v>0.97806769609451294</v>
      </c>
      <c r="R53">
        <v>-0.332674720333753</v>
      </c>
    </row>
    <row r="54" spans="1:18" x14ac:dyDescent="0.25">
      <c r="A54">
        <v>231</v>
      </c>
      <c r="B54" t="s">
        <v>226</v>
      </c>
      <c r="C54">
        <v>69</v>
      </c>
      <c r="D54">
        <v>0</v>
      </c>
      <c r="E54">
        <v>1</v>
      </c>
      <c r="F54">
        <v>10</v>
      </c>
      <c r="G54">
        <v>1</v>
      </c>
      <c r="H54">
        <v>0</v>
      </c>
      <c r="I54">
        <v>0</v>
      </c>
      <c r="J54">
        <v>0</v>
      </c>
      <c r="K54">
        <v>1</v>
      </c>
      <c r="L54" s="2">
        <v>0</v>
      </c>
      <c r="Q54">
        <v>0.92485189437866211</v>
      </c>
      <c r="R54">
        <v>-0.59315461951684556</v>
      </c>
    </row>
    <row r="55" spans="1:18" x14ac:dyDescent="0.25">
      <c r="A55">
        <v>232</v>
      </c>
      <c r="B55" t="s">
        <v>227</v>
      </c>
      <c r="C55">
        <v>33</v>
      </c>
      <c r="D55">
        <v>0</v>
      </c>
      <c r="E55">
        <v>1</v>
      </c>
      <c r="F55">
        <v>10</v>
      </c>
      <c r="G55">
        <v>1</v>
      </c>
      <c r="H55">
        <v>0</v>
      </c>
      <c r="I55">
        <v>0</v>
      </c>
      <c r="J55">
        <v>0</v>
      </c>
      <c r="K55">
        <v>1</v>
      </c>
      <c r="L55" s="2">
        <v>0</v>
      </c>
      <c r="Q55">
        <v>0.92080020904541016</v>
      </c>
      <c r="R55">
        <v>-0.63719185037137627</v>
      </c>
    </row>
    <row r="56" spans="1:18" x14ac:dyDescent="0.25">
      <c r="A56">
        <v>233</v>
      </c>
      <c r="B56" t="s">
        <v>228</v>
      </c>
      <c r="C56">
        <v>138</v>
      </c>
      <c r="D56">
        <v>0</v>
      </c>
      <c r="E56">
        <v>1</v>
      </c>
      <c r="F56">
        <v>10</v>
      </c>
      <c r="G56">
        <v>1</v>
      </c>
      <c r="H56">
        <v>0</v>
      </c>
      <c r="I56">
        <v>0</v>
      </c>
      <c r="J56">
        <v>0</v>
      </c>
      <c r="K56">
        <v>1</v>
      </c>
      <c r="L56" s="2">
        <v>0</v>
      </c>
      <c r="Q56">
        <v>0.91488450765609741</v>
      </c>
      <c r="R56">
        <v>-0.52098742284431798</v>
      </c>
    </row>
    <row r="57" spans="1:18" x14ac:dyDescent="0.25">
      <c r="A57">
        <v>241</v>
      </c>
      <c r="B57" t="s">
        <v>85</v>
      </c>
      <c r="C57">
        <v>138</v>
      </c>
      <c r="D57">
        <v>0</v>
      </c>
      <c r="E57">
        <v>1</v>
      </c>
      <c r="F57">
        <v>10</v>
      </c>
      <c r="G57">
        <v>1</v>
      </c>
      <c r="H57">
        <v>0</v>
      </c>
      <c r="I57">
        <v>0</v>
      </c>
      <c r="J57">
        <v>0</v>
      </c>
      <c r="K57">
        <v>1</v>
      </c>
      <c r="L57" s="2">
        <v>0</v>
      </c>
      <c r="Q57">
        <v>0.99418044090270996</v>
      </c>
      <c r="R57">
        <v>4.8985358946357124E-2</v>
      </c>
    </row>
    <row r="58" spans="1:18" x14ac:dyDescent="0.25">
      <c r="A58">
        <v>242</v>
      </c>
      <c r="B58" t="s">
        <v>229</v>
      </c>
      <c r="C58">
        <v>138</v>
      </c>
      <c r="D58">
        <v>0</v>
      </c>
      <c r="E58">
        <v>1</v>
      </c>
      <c r="F58">
        <v>10</v>
      </c>
      <c r="G58">
        <v>1</v>
      </c>
      <c r="H58">
        <v>0</v>
      </c>
      <c r="I58">
        <v>0</v>
      </c>
      <c r="J58">
        <v>0</v>
      </c>
      <c r="K58">
        <v>1</v>
      </c>
      <c r="L58" s="2">
        <v>0</v>
      </c>
      <c r="Q58">
        <v>1.0163826942443848</v>
      </c>
      <c r="R58">
        <v>-7.6653127280571234E-2</v>
      </c>
    </row>
    <row r="59" spans="1:18" x14ac:dyDescent="0.25">
      <c r="A59">
        <v>243</v>
      </c>
      <c r="B59" t="s">
        <v>230</v>
      </c>
      <c r="C59">
        <v>69</v>
      </c>
      <c r="D59">
        <v>0</v>
      </c>
      <c r="E59">
        <v>1</v>
      </c>
      <c r="F59">
        <v>10</v>
      </c>
      <c r="G59">
        <v>1</v>
      </c>
      <c r="H59">
        <v>0</v>
      </c>
      <c r="I59">
        <v>0</v>
      </c>
      <c r="J59">
        <v>0</v>
      </c>
      <c r="K59">
        <v>1</v>
      </c>
      <c r="L59" s="2">
        <v>0</v>
      </c>
      <c r="Q59">
        <v>1.0016565322875977</v>
      </c>
      <c r="R59">
        <v>-0.18544026963241064</v>
      </c>
    </row>
    <row r="60" spans="1:18" x14ac:dyDescent="0.25">
      <c r="A60">
        <v>251</v>
      </c>
      <c r="B60" t="s">
        <v>231</v>
      </c>
      <c r="C60">
        <v>69</v>
      </c>
      <c r="D60">
        <v>0</v>
      </c>
      <c r="E60">
        <v>1</v>
      </c>
      <c r="F60">
        <v>10</v>
      </c>
      <c r="G60">
        <v>1</v>
      </c>
      <c r="H60">
        <v>0</v>
      </c>
      <c r="I60">
        <v>0</v>
      </c>
      <c r="J60">
        <v>0</v>
      </c>
      <c r="K60">
        <v>1</v>
      </c>
      <c r="L60" s="2">
        <v>0</v>
      </c>
      <c r="Q60">
        <v>0.98201555013656616</v>
      </c>
      <c r="R60">
        <v>-0.33165318149940659</v>
      </c>
    </row>
    <row r="61" spans="1:18" x14ac:dyDescent="0.25">
      <c r="A61">
        <v>261</v>
      </c>
      <c r="B61" t="s">
        <v>86</v>
      </c>
      <c r="C61">
        <v>69</v>
      </c>
      <c r="D61">
        <v>0</v>
      </c>
      <c r="E61">
        <v>1</v>
      </c>
      <c r="F61">
        <v>10</v>
      </c>
      <c r="G61">
        <v>1</v>
      </c>
      <c r="H61">
        <v>0</v>
      </c>
      <c r="I61">
        <v>0</v>
      </c>
      <c r="J61">
        <v>0</v>
      </c>
      <c r="K61">
        <v>1</v>
      </c>
      <c r="L61" s="2">
        <v>0</v>
      </c>
      <c r="Q61">
        <v>0.97422188520431519</v>
      </c>
      <c r="R61">
        <v>-0.37946491550427169</v>
      </c>
    </row>
    <row r="62" spans="1:18" x14ac:dyDescent="0.25">
      <c r="A62">
        <v>262</v>
      </c>
      <c r="B62" t="s">
        <v>232</v>
      </c>
      <c r="C62">
        <v>138</v>
      </c>
      <c r="D62">
        <v>0</v>
      </c>
      <c r="E62">
        <v>1</v>
      </c>
      <c r="F62">
        <v>10</v>
      </c>
      <c r="G62">
        <v>1</v>
      </c>
      <c r="H62">
        <v>0</v>
      </c>
      <c r="I62">
        <v>0</v>
      </c>
      <c r="J62">
        <v>0</v>
      </c>
      <c r="K62">
        <v>1</v>
      </c>
      <c r="L62" s="2">
        <v>0</v>
      </c>
      <c r="Q62">
        <v>0.96142792701721191</v>
      </c>
      <c r="R62">
        <v>-0.37752035144513141</v>
      </c>
    </row>
    <row r="63" spans="1:18" x14ac:dyDescent="0.25">
      <c r="A63">
        <v>263</v>
      </c>
      <c r="B63" t="s">
        <v>233</v>
      </c>
      <c r="C63">
        <v>69</v>
      </c>
      <c r="D63">
        <v>0</v>
      </c>
      <c r="E63">
        <v>1</v>
      </c>
      <c r="F63">
        <v>10</v>
      </c>
      <c r="G63">
        <v>1</v>
      </c>
      <c r="H63">
        <v>0</v>
      </c>
      <c r="I63">
        <v>0</v>
      </c>
      <c r="J63">
        <v>0</v>
      </c>
      <c r="K63">
        <v>1</v>
      </c>
      <c r="L63" s="2">
        <v>0</v>
      </c>
      <c r="Q63">
        <v>0.98515975475311279</v>
      </c>
      <c r="R63">
        <v>-0.39573866554370729</v>
      </c>
    </row>
    <row r="64" spans="1:18" x14ac:dyDescent="0.25">
      <c r="A64">
        <v>264</v>
      </c>
      <c r="B64" t="s">
        <v>234</v>
      </c>
      <c r="C64">
        <v>138</v>
      </c>
      <c r="D64">
        <v>0</v>
      </c>
      <c r="E64">
        <v>1</v>
      </c>
      <c r="F64">
        <v>10</v>
      </c>
      <c r="G64">
        <v>1</v>
      </c>
      <c r="H64">
        <v>0</v>
      </c>
      <c r="I64">
        <v>0</v>
      </c>
      <c r="J64">
        <v>0</v>
      </c>
      <c r="K64">
        <v>1</v>
      </c>
      <c r="L64" s="2">
        <v>0</v>
      </c>
      <c r="Q64">
        <v>0.99417513608932495</v>
      </c>
      <c r="R64">
        <v>-0.36794041254803217</v>
      </c>
    </row>
    <row r="65" spans="1:18" x14ac:dyDescent="0.25">
      <c r="A65">
        <v>271</v>
      </c>
      <c r="B65" t="s">
        <v>87</v>
      </c>
      <c r="C65">
        <v>69</v>
      </c>
      <c r="D65">
        <v>0</v>
      </c>
      <c r="E65">
        <v>1</v>
      </c>
      <c r="F65">
        <v>10</v>
      </c>
      <c r="G65">
        <v>1</v>
      </c>
      <c r="H65">
        <v>0</v>
      </c>
      <c r="I65">
        <v>0</v>
      </c>
      <c r="J65">
        <v>0</v>
      </c>
      <c r="K65">
        <v>1</v>
      </c>
      <c r="L65" s="2">
        <v>0</v>
      </c>
      <c r="Q65">
        <v>0.9556620717048645</v>
      </c>
      <c r="R65">
        <v>-0.4825705227494464</v>
      </c>
    </row>
    <row r="66" spans="1:18" x14ac:dyDescent="0.25">
      <c r="A66">
        <v>272</v>
      </c>
      <c r="B66" t="s">
        <v>235</v>
      </c>
      <c r="C66">
        <v>33</v>
      </c>
      <c r="D66">
        <v>0</v>
      </c>
      <c r="E66">
        <v>1</v>
      </c>
      <c r="F66">
        <v>10</v>
      </c>
      <c r="G66">
        <v>1</v>
      </c>
      <c r="H66">
        <v>0</v>
      </c>
      <c r="I66">
        <v>0</v>
      </c>
      <c r="J66">
        <v>0</v>
      </c>
      <c r="K66">
        <v>1</v>
      </c>
      <c r="L66" s="2">
        <v>0</v>
      </c>
      <c r="Q66">
        <v>0.93175601959228516</v>
      </c>
      <c r="R66">
        <v>-0.59755492005832334</v>
      </c>
    </row>
    <row r="67" spans="1:18" ht="12" customHeight="1" x14ac:dyDescent="0.25">
      <c r="A67">
        <v>273</v>
      </c>
      <c r="B67" t="s">
        <v>236</v>
      </c>
      <c r="C67">
        <v>33</v>
      </c>
      <c r="D67">
        <v>0</v>
      </c>
      <c r="E67">
        <v>1</v>
      </c>
      <c r="F67">
        <v>10</v>
      </c>
      <c r="G67">
        <v>1</v>
      </c>
      <c r="H67">
        <v>0</v>
      </c>
      <c r="I67">
        <v>0</v>
      </c>
      <c r="J67">
        <v>0</v>
      </c>
      <c r="K67">
        <v>1</v>
      </c>
      <c r="L67" s="2">
        <v>0</v>
      </c>
      <c r="Q67">
        <v>0.9315982460975647</v>
      </c>
      <c r="R67">
        <v>-0.59901284079210571</v>
      </c>
    </row>
    <row r="68" spans="1:18" ht="12" customHeight="1" x14ac:dyDescent="0.25">
      <c r="A68">
        <v>274</v>
      </c>
      <c r="B68" t="s">
        <v>358</v>
      </c>
      <c r="C68">
        <v>24</v>
      </c>
      <c r="D68">
        <v>0</v>
      </c>
      <c r="E68">
        <v>1</v>
      </c>
      <c r="F68">
        <v>10</v>
      </c>
      <c r="G68">
        <v>1</v>
      </c>
      <c r="H68">
        <v>0</v>
      </c>
      <c r="I68">
        <v>0</v>
      </c>
      <c r="J68">
        <v>0</v>
      </c>
      <c r="K68">
        <v>1</v>
      </c>
      <c r="L68" s="2">
        <v>0</v>
      </c>
      <c r="Q68">
        <v>0.9556620717048645</v>
      </c>
      <c r="R68">
        <v>-0.4825705227494464</v>
      </c>
    </row>
    <row r="69" spans="1:18" x14ac:dyDescent="0.25">
      <c r="A69">
        <v>281</v>
      </c>
      <c r="B69" t="s">
        <v>88</v>
      </c>
      <c r="C69">
        <v>138</v>
      </c>
      <c r="D69">
        <v>0</v>
      </c>
      <c r="E69">
        <v>1</v>
      </c>
      <c r="F69">
        <v>10</v>
      </c>
      <c r="G69">
        <v>1</v>
      </c>
      <c r="H69">
        <v>0</v>
      </c>
      <c r="I69">
        <v>0</v>
      </c>
      <c r="J69">
        <v>0</v>
      </c>
      <c r="K69">
        <v>1</v>
      </c>
      <c r="L69" s="2">
        <v>0</v>
      </c>
      <c r="Q69">
        <v>0.9474416971206665</v>
      </c>
      <c r="R69">
        <v>-0.22678276910984774</v>
      </c>
    </row>
    <row r="70" spans="1:18" x14ac:dyDescent="0.25">
      <c r="A70">
        <v>282</v>
      </c>
      <c r="B70" t="s">
        <v>89</v>
      </c>
      <c r="C70">
        <v>138</v>
      </c>
      <c r="D70">
        <v>0</v>
      </c>
      <c r="E70">
        <v>1</v>
      </c>
      <c r="F70">
        <v>10</v>
      </c>
      <c r="G70">
        <v>1</v>
      </c>
      <c r="H70">
        <v>0</v>
      </c>
      <c r="I70">
        <v>0</v>
      </c>
      <c r="J70">
        <v>0</v>
      </c>
      <c r="K70">
        <v>1</v>
      </c>
      <c r="L70" s="2">
        <v>0</v>
      </c>
      <c r="Q70">
        <v>0.95115154981613159</v>
      </c>
      <c r="R70">
        <v>-0.27519625979410822</v>
      </c>
    </row>
    <row r="71" spans="1:18" x14ac:dyDescent="0.25">
      <c r="A71">
        <v>283</v>
      </c>
      <c r="B71" t="s">
        <v>237</v>
      </c>
      <c r="C71">
        <v>138</v>
      </c>
      <c r="D71">
        <v>0</v>
      </c>
      <c r="E71">
        <v>1</v>
      </c>
      <c r="F71">
        <v>10</v>
      </c>
      <c r="G71">
        <v>1</v>
      </c>
      <c r="H71">
        <v>0</v>
      </c>
      <c r="I71">
        <v>0</v>
      </c>
      <c r="J71">
        <v>0</v>
      </c>
      <c r="K71">
        <v>1</v>
      </c>
      <c r="L71" s="2">
        <v>0</v>
      </c>
      <c r="Q71">
        <v>0.95949536561965942</v>
      </c>
      <c r="R71">
        <v>-0.29472218431466995</v>
      </c>
    </row>
    <row r="72" spans="1:18" x14ac:dyDescent="0.25">
      <c r="A72">
        <v>291</v>
      </c>
      <c r="B72" t="s">
        <v>90</v>
      </c>
      <c r="C72">
        <v>138</v>
      </c>
      <c r="D72">
        <v>0</v>
      </c>
      <c r="E72">
        <v>1</v>
      </c>
      <c r="F72">
        <v>10</v>
      </c>
      <c r="G72">
        <v>1</v>
      </c>
      <c r="H72">
        <v>0</v>
      </c>
      <c r="I72">
        <v>0</v>
      </c>
      <c r="J72">
        <v>0</v>
      </c>
      <c r="K72">
        <v>1</v>
      </c>
      <c r="L72" s="2">
        <v>0</v>
      </c>
      <c r="Q72">
        <v>0.93115025758743286</v>
      </c>
      <c r="R72">
        <v>-0.22019903246436034</v>
      </c>
    </row>
    <row r="73" spans="1:18" x14ac:dyDescent="0.25">
      <c r="A73">
        <v>292</v>
      </c>
      <c r="B73" t="s">
        <v>238</v>
      </c>
      <c r="C73">
        <v>138</v>
      </c>
      <c r="D73">
        <v>0</v>
      </c>
      <c r="E73">
        <v>1</v>
      </c>
      <c r="F73">
        <v>10</v>
      </c>
      <c r="G73">
        <v>1</v>
      </c>
      <c r="H73">
        <v>0</v>
      </c>
      <c r="I73">
        <v>0</v>
      </c>
      <c r="J73">
        <v>0</v>
      </c>
      <c r="K73">
        <v>1</v>
      </c>
      <c r="L73" s="2">
        <v>0</v>
      </c>
      <c r="Q73">
        <v>0.91743886470794678</v>
      </c>
      <c r="R73">
        <v>-0.36547771832407155</v>
      </c>
    </row>
    <row r="74" spans="1:18" x14ac:dyDescent="0.25">
      <c r="Q74">
        <v>0.91743886470794678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D16"/>
  <sheetViews>
    <sheetView workbookViewId="0">
      <selection activeCell="E15" sqref="E15"/>
    </sheetView>
  </sheetViews>
  <sheetFormatPr defaultRowHeight="13.2" x14ac:dyDescent="0.25"/>
  <cols>
    <col min="1" max="1" width="12.33203125" customWidth="1"/>
    <col min="16" max="16" width="12" customWidth="1"/>
  </cols>
  <sheetData>
    <row r="1" spans="1:30" x14ac:dyDescent="0.25">
      <c r="A1" s="4"/>
      <c r="B1" t="s">
        <v>239</v>
      </c>
      <c r="C1" t="s">
        <v>5</v>
      </c>
      <c r="D1" t="s">
        <v>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248</v>
      </c>
      <c r="N1" t="s">
        <v>249</v>
      </c>
      <c r="O1" t="s">
        <v>250</v>
      </c>
      <c r="P1" t="s">
        <v>251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  <c r="X1" t="s">
        <v>114</v>
      </c>
      <c r="Y1" t="s">
        <v>252</v>
      </c>
      <c r="Z1" t="s">
        <v>253</v>
      </c>
      <c r="AA1" t="s">
        <v>254</v>
      </c>
      <c r="AB1" t="s">
        <v>255</v>
      </c>
      <c r="AC1" t="s">
        <v>256</v>
      </c>
      <c r="AD1" t="s">
        <v>257</v>
      </c>
    </row>
    <row r="2" spans="1:30" x14ac:dyDescent="0.25">
      <c r="A2" t="s">
        <v>78</v>
      </c>
      <c r="B2">
        <v>131</v>
      </c>
      <c r="C2">
        <v>1</v>
      </c>
      <c r="D2">
        <v>1</v>
      </c>
      <c r="E2">
        <v>181</v>
      </c>
      <c r="F2">
        <v>200</v>
      </c>
      <c r="G2">
        <v>0</v>
      </c>
      <c r="H2">
        <v>25</v>
      </c>
      <c r="I2">
        <v>232</v>
      </c>
      <c r="J2">
        <v>-162</v>
      </c>
      <c r="K2">
        <v>100</v>
      </c>
      <c r="L2">
        <v>0</v>
      </c>
      <c r="M2">
        <v>0.1</v>
      </c>
      <c r="N2">
        <v>0</v>
      </c>
      <c r="O2">
        <v>0</v>
      </c>
      <c r="P2">
        <v>1</v>
      </c>
      <c r="Q2">
        <v>1</v>
      </c>
      <c r="R2">
        <v>1</v>
      </c>
      <c r="S2">
        <v>0</v>
      </c>
      <c r="T2">
        <v>1</v>
      </c>
      <c r="U2">
        <v>0</v>
      </c>
      <c r="V2">
        <v>1</v>
      </c>
      <c r="W2">
        <v>0</v>
      </c>
      <c r="X2">
        <v>1</v>
      </c>
    </row>
    <row r="3" spans="1:30" x14ac:dyDescent="0.25">
      <c r="A3" t="s">
        <v>79</v>
      </c>
      <c r="B3">
        <v>137</v>
      </c>
      <c r="C3">
        <v>2</v>
      </c>
      <c r="D3">
        <v>1</v>
      </c>
      <c r="E3">
        <v>181</v>
      </c>
      <c r="F3">
        <v>200</v>
      </c>
      <c r="G3">
        <v>0</v>
      </c>
      <c r="H3">
        <v>60</v>
      </c>
      <c r="I3">
        <v>232</v>
      </c>
      <c r="J3">
        <v>-162</v>
      </c>
      <c r="K3">
        <v>100</v>
      </c>
      <c r="L3">
        <v>0</v>
      </c>
      <c r="M3">
        <v>0.1</v>
      </c>
      <c r="N3">
        <v>0</v>
      </c>
      <c r="O3">
        <v>0</v>
      </c>
      <c r="P3">
        <v>1</v>
      </c>
      <c r="Q3">
        <v>1</v>
      </c>
      <c r="R3">
        <v>1</v>
      </c>
      <c r="S3">
        <v>0</v>
      </c>
      <c r="T3">
        <v>1</v>
      </c>
      <c r="U3">
        <v>0</v>
      </c>
      <c r="V3">
        <v>1</v>
      </c>
      <c r="W3">
        <v>0</v>
      </c>
      <c r="X3">
        <v>1</v>
      </c>
    </row>
    <row r="4" spans="1:30" x14ac:dyDescent="0.25">
      <c r="A4" t="s">
        <v>80</v>
      </c>
      <c r="B4">
        <v>133</v>
      </c>
      <c r="C4">
        <v>3</v>
      </c>
      <c r="D4">
        <v>1</v>
      </c>
      <c r="E4">
        <v>181</v>
      </c>
      <c r="F4">
        <v>200</v>
      </c>
      <c r="G4">
        <v>0</v>
      </c>
      <c r="H4">
        <v>60</v>
      </c>
      <c r="I4">
        <v>232</v>
      </c>
      <c r="J4">
        <v>-162</v>
      </c>
      <c r="K4">
        <v>100</v>
      </c>
      <c r="L4">
        <v>0</v>
      </c>
      <c r="M4">
        <v>0.1</v>
      </c>
      <c r="N4">
        <v>0</v>
      </c>
      <c r="O4">
        <v>0</v>
      </c>
      <c r="P4">
        <v>1</v>
      </c>
      <c r="Q4">
        <v>1</v>
      </c>
      <c r="R4">
        <v>1</v>
      </c>
      <c r="S4">
        <v>0</v>
      </c>
      <c r="T4">
        <v>1</v>
      </c>
      <c r="U4">
        <v>0</v>
      </c>
      <c r="V4">
        <v>1</v>
      </c>
      <c r="W4">
        <v>0</v>
      </c>
      <c r="X4">
        <v>1</v>
      </c>
    </row>
    <row r="5" spans="1:30" x14ac:dyDescent="0.25">
      <c r="A5" t="s">
        <v>81</v>
      </c>
      <c r="B5">
        <v>139</v>
      </c>
      <c r="C5">
        <v>4</v>
      </c>
      <c r="D5">
        <v>1</v>
      </c>
      <c r="E5">
        <v>261</v>
      </c>
      <c r="F5">
        <v>500</v>
      </c>
      <c r="G5">
        <v>0</v>
      </c>
      <c r="H5">
        <v>118</v>
      </c>
      <c r="I5">
        <v>183</v>
      </c>
      <c r="J5">
        <v>-128</v>
      </c>
      <c r="K5">
        <v>100</v>
      </c>
      <c r="L5">
        <v>0</v>
      </c>
      <c r="M5">
        <v>0.04</v>
      </c>
      <c r="N5">
        <v>0</v>
      </c>
      <c r="O5">
        <v>0</v>
      </c>
      <c r="P5">
        <v>1</v>
      </c>
      <c r="Q5">
        <v>1</v>
      </c>
      <c r="R5">
        <v>1</v>
      </c>
      <c r="S5">
        <v>0</v>
      </c>
      <c r="T5">
        <v>1</v>
      </c>
      <c r="U5">
        <v>0</v>
      </c>
      <c r="V5">
        <v>1</v>
      </c>
      <c r="W5">
        <v>0</v>
      </c>
      <c r="X5">
        <v>1</v>
      </c>
    </row>
    <row r="6" spans="1:30" x14ac:dyDescent="0.25">
      <c r="A6" t="s">
        <v>258</v>
      </c>
      <c r="B6">
        <v>43</v>
      </c>
      <c r="C6">
        <v>1</v>
      </c>
      <c r="D6">
        <v>1</v>
      </c>
      <c r="E6">
        <v>70</v>
      </c>
      <c r="F6">
        <v>70</v>
      </c>
      <c r="G6">
        <v>0</v>
      </c>
      <c r="H6">
        <v>0</v>
      </c>
      <c r="I6">
        <v>100</v>
      </c>
      <c r="J6">
        <v>-50</v>
      </c>
      <c r="K6">
        <v>100</v>
      </c>
      <c r="L6">
        <v>0</v>
      </c>
      <c r="M6">
        <v>0.28570000000000001</v>
      </c>
      <c r="N6">
        <v>0</v>
      </c>
      <c r="O6">
        <v>0</v>
      </c>
      <c r="P6">
        <v>1</v>
      </c>
      <c r="Q6">
        <v>1</v>
      </c>
      <c r="R6">
        <v>1</v>
      </c>
      <c r="S6">
        <v>0</v>
      </c>
      <c r="T6">
        <v>1</v>
      </c>
      <c r="U6">
        <v>0</v>
      </c>
      <c r="V6">
        <v>1</v>
      </c>
      <c r="W6">
        <v>0</v>
      </c>
      <c r="X6">
        <v>1</v>
      </c>
    </row>
    <row r="7" spans="1:30" x14ac:dyDescent="0.25">
      <c r="A7" t="s">
        <v>193</v>
      </c>
      <c r="B7">
        <v>93</v>
      </c>
      <c r="C7">
        <v>1</v>
      </c>
      <c r="D7">
        <v>1</v>
      </c>
      <c r="E7">
        <v>306</v>
      </c>
      <c r="F7">
        <v>400</v>
      </c>
      <c r="G7">
        <v>0</v>
      </c>
      <c r="H7">
        <v>71</v>
      </c>
      <c r="I7">
        <v>150</v>
      </c>
      <c r="J7">
        <v>-115</v>
      </c>
      <c r="K7">
        <v>100</v>
      </c>
      <c r="L7">
        <v>0</v>
      </c>
      <c r="M7">
        <v>0.05</v>
      </c>
      <c r="N7">
        <v>0</v>
      </c>
      <c r="O7">
        <v>0</v>
      </c>
      <c r="P7">
        <v>1</v>
      </c>
      <c r="Q7">
        <v>1</v>
      </c>
      <c r="R7">
        <v>1</v>
      </c>
      <c r="S7">
        <v>0</v>
      </c>
      <c r="T7">
        <v>1</v>
      </c>
      <c r="U7">
        <v>0</v>
      </c>
      <c r="V7">
        <v>1</v>
      </c>
      <c r="W7">
        <v>0</v>
      </c>
      <c r="X7">
        <v>1</v>
      </c>
    </row>
    <row r="8" spans="1:30" x14ac:dyDescent="0.25">
      <c r="A8" t="s">
        <v>259</v>
      </c>
      <c r="B8">
        <v>94</v>
      </c>
      <c r="C8">
        <v>2</v>
      </c>
      <c r="D8">
        <v>1</v>
      </c>
      <c r="E8">
        <v>306</v>
      </c>
      <c r="F8">
        <v>400</v>
      </c>
      <c r="G8">
        <v>0</v>
      </c>
      <c r="H8">
        <v>71</v>
      </c>
      <c r="I8">
        <v>150</v>
      </c>
      <c r="J8">
        <v>-115</v>
      </c>
      <c r="K8">
        <v>100</v>
      </c>
      <c r="L8">
        <v>0</v>
      </c>
      <c r="M8">
        <v>0.05</v>
      </c>
      <c r="N8">
        <v>0</v>
      </c>
      <c r="O8">
        <v>0</v>
      </c>
      <c r="P8">
        <v>1</v>
      </c>
      <c r="Q8">
        <v>1</v>
      </c>
      <c r="R8">
        <v>1</v>
      </c>
      <c r="S8">
        <v>0</v>
      </c>
      <c r="T8">
        <v>1</v>
      </c>
      <c r="U8">
        <v>0</v>
      </c>
      <c r="V8">
        <v>1</v>
      </c>
      <c r="W8">
        <v>0</v>
      </c>
      <c r="X8">
        <v>1</v>
      </c>
    </row>
    <row r="9" spans="1:30" x14ac:dyDescent="0.25">
      <c r="A9" t="s">
        <v>260</v>
      </c>
      <c r="B9">
        <v>193</v>
      </c>
      <c r="C9">
        <v>1</v>
      </c>
      <c r="D9">
        <v>1</v>
      </c>
      <c r="E9">
        <v>1198.2</v>
      </c>
      <c r="F9">
        <v>1200</v>
      </c>
      <c r="G9">
        <v>0</v>
      </c>
      <c r="H9">
        <v>109</v>
      </c>
      <c r="I9">
        <v>506</v>
      </c>
      <c r="J9">
        <v>-316</v>
      </c>
      <c r="K9">
        <v>100</v>
      </c>
      <c r="L9">
        <v>0</v>
      </c>
      <c r="M9">
        <v>1.67E-2</v>
      </c>
      <c r="N9">
        <v>0</v>
      </c>
      <c r="O9">
        <v>0</v>
      </c>
      <c r="P9">
        <v>1</v>
      </c>
      <c r="Q9">
        <v>1</v>
      </c>
      <c r="R9">
        <v>1</v>
      </c>
      <c r="S9">
        <v>0</v>
      </c>
      <c r="T9">
        <v>1</v>
      </c>
      <c r="U9">
        <v>0</v>
      </c>
      <c r="V9">
        <v>1</v>
      </c>
      <c r="W9">
        <v>0</v>
      </c>
      <c r="X9">
        <v>1</v>
      </c>
    </row>
    <row r="10" spans="1:30" x14ac:dyDescent="0.25">
      <c r="A10" t="s">
        <v>261</v>
      </c>
      <c r="B10">
        <v>23</v>
      </c>
      <c r="C10">
        <v>1</v>
      </c>
      <c r="D10">
        <v>1</v>
      </c>
      <c r="E10">
        <v>199</v>
      </c>
      <c r="F10">
        <v>200</v>
      </c>
      <c r="G10">
        <v>0</v>
      </c>
      <c r="H10">
        <v>116</v>
      </c>
      <c r="I10">
        <v>126</v>
      </c>
      <c r="J10">
        <v>-88</v>
      </c>
      <c r="K10">
        <v>100</v>
      </c>
      <c r="L10">
        <v>0</v>
      </c>
      <c r="M10">
        <v>0.1</v>
      </c>
      <c r="N10">
        <v>0</v>
      </c>
      <c r="O10">
        <v>0</v>
      </c>
      <c r="P10">
        <v>1</v>
      </c>
      <c r="Q10">
        <v>1</v>
      </c>
      <c r="R10">
        <v>1</v>
      </c>
      <c r="S10">
        <v>0</v>
      </c>
      <c r="T10">
        <v>1</v>
      </c>
      <c r="U10">
        <v>0</v>
      </c>
      <c r="V10">
        <v>1</v>
      </c>
      <c r="W10">
        <v>0</v>
      </c>
      <c r="X10">
        <v>1</v>
      </c>
    </row>
    <row r="11" spans="1:30" x14ac:dyDescent="0.25">
      <c r="A11" t="s">
        <v>262</v>
      </c>
      <c r="B11">
        <v>164</v>
      </c>
      <c r="C11">
        <v>1</v>
      </c>
      <c r="D11">
        <v>1</v>
      </c>
      <c r="E11">
        <v>196</v>
      </c>
      <c r="F11">
        <v>600</v>
      </c>
      <c r="G11">
        <v>0</v>
      </c>
      <c r="H11">
        <v>72</v>
      </c>
      <c r="I11">
        <v>282</v>
      </c>
      <c r="J11">
        <v>-188</v>
      </c>
      <c r="K11">
        <v>100</v>
      </c>
      <c r="L11">
        <v>0</v>
      </c>
      <c r="M11">
        <v>3.3300000000000003E-2</v>
      </c>
      <c r="N11">
        <v>0</v>
      </c>
      <c r="O11">
        <v>0</v>
      </c>
      <c r="P11">
        <v>1</v>
      </c>
      <c r="Q11">
        <v>1</v>
      </c>
      <c r="R11">
        <v>1</v>
      </c>
      <c r="S11">
        <v>0</v>
      </c>
      <c r="T11">
        <v>1</v>
      </c>
      <c r="U11">
        <v>0</v>
      </c>
      <c r="V11">
        <v>1</v>
      </c>
      <c r="W11">
        <v>0</v>
      </c>
      <c r="X11">
        <v>1</v>
      </c>
    </row>
    <row r="12" spans="1:30" x14ac:dyDescent="0.25">
      <c r="A12" t="s">
        <v>263</v>
      </c>
      <c r="B12">
        <v>114</v>
      </c>
      <c r="C12">
        <v>1</v>
      </c>
      <c r="D12">
        <v>1</v>
      </c>
      <c r="E12">
        <v>358</v>
      </c>
      <c r="F12">
        <v>600</v>
      </c>
      <c r="G12">
        <v>0</v>
      </c>
      <c r="H12">
        <v>118</v>
      </c>
      <c r="I12">
        <v>233</v>
      </c>
      <c r="J12">
        <v>-156</v>
      </c>
      <c r="K12">
        <v>100</v>
      </c>
      <c r="L12">
        <v>0</v>
      </c>
      <c r="M12">
        <v>3.3300000000000003E-2</v>
      </c>
      <c r="N12">
        <v>0</v>
      </c>
      <c r="O12">
        <v>0</v>
      </c>
      <c r="P12">
        <v>1</v>
      </c>
      <c r="Q12">
        <v>1</v>
      </c>
      <c r="R12">
        <v>1</v>
      </c>
      <c r="S12">
        <v>0</v>
      </c>
      <c r="T12">
        <v>1</v>
      </c>
      <c r="U12">
        <v>0</v>
      </c>
      <c r="V12">
        <v>1</v>
      </c>
      <c r="W12">
        <v>0</v>
      </c>
      <c r="X12">
        <v>1</v>
      </c>
    </row>
    <row r="13" spans="1:30" x14ac:dyDescent="0.25">
      <c r="A13" t="s">
        <v>264</v>
      </c>
      <c r="B13">
        <v>145</v>
      </c>
      <c r="C13">
        <v>1</v>
      </c>
      <c r="D13">
        <v>1</v>
      </c>
      <c r="E13">
        <v>899</v>
      </c>
      <c r="F13">
        <v>1200</v>
      </c>
      <c r="G13">
        <v>0</v>
      </c>
      <c r="H13">
        <v>194</v>
      </c>
      <c r="I13">
        <v>424</v>
      </c>
      <c r="J13">
        <v>-265</v>
      </c>
      <c r="K13">
        <v>100</v>
      </c>
      <c r="L13">
        <v>0</v>
      </c>
      <c r="M13">
        <v>1.67E-2</v>
      </c>
      <c r="N13">
        <v>0</v>
      </c>
      <c r="O13">
        <v>0</v>
      </c>
      <c r="P13">
        <v>1</v>
      </c>
      <c r="Q13">
        <v>1</v>
      </c>
      <c r="R13">
        <v>1</v>
      </c>
      <c r="S13">
        <v>0</v>
      </c>
      <c r="T13">
        <v>1</v>
      </c>
      <c r="U13">
        <v>0</v>
      </c>
      <c r="V13">
        <v>1</v>
      </c>
      <c r="W13">
        <v>0</v>
      </c>
      <c r="X13">
        <v>1</v>
      </c>
    </row>
    <row r="14" spans="1:30" x14ac:dyDescent="0.25">
      <c r="A14" t="s">
        <v>353</v>
      </c>
      <c r="B14">
        <v>153</v>
      </c>
      <c r="C14">
        <v>1</v>
      </c>
      <c r="D14">
        <v>0</v>
      </c>
      <c r="E14">
        <v>0</v>
      </c>
      <c r="F14">
        <v>400</v>
      </c>
      <c r="G14">
        <v>0</v>
      </c>
      <c r="H14">
        <v>0</v>
      </c>
      <c r="I14">
        <v>200</v>
      </c>
      <c r="J14">
        <v>-200</v>
      </c>
      <c r="K14">
        <v>100</v>
      </c>
      <c r="M14">
        <v>0.01</v>
      </c>
      <c r="N14">
        <v>0</v>
      </c>
      <c r="O14">
        <v>0</v>
      </c>
      <c r="P14">
        <v>1</v>
      </c>
      <c r="Q14">
        <v>1</v>
      </c>
      <c r="R14">
        <v>1</v>
      </c>
      <c r="S14">
        <v>0</v>
      </c>
      <c r="T14">
        <v>1</v>
      </c>
      <c r="U14">
        <v>0</v>
      </c>
      <c r="V14">
        <v>1</v>
      </c>
      <c r="W14">
        <v>0</v>
      </c>
      <c r="X14">
        <v>1</v>
      </c>
    </row>
    <row r="15" spans="1:30" x14ac:dyDescent="0.25">
      <c r="A15" t="s">
        <v>354</v>
      </c>
      <c r="B15">
        <v>274</v>
      </c>
      <c r="C15">
        <v>1</v>
      </c>
      <c r="D15">
        <v>0</v>
      </c>
      <c r="E15">
        <v>0</v>
      </c>
      <c r="F15">
        <v>80</v>
      </c>
      <c r="G15">
        <v>0</v>
      </c>
      <c r="H15">
        <v>0</v>
      </c>
      <c r="I15">
        <v>40</v>
      </c>
      <c r="J15">
        <v>-40</v>
      </c>
      <c r="K15">
        <v>100</v>
      </c>
      <c r="M15">
        <v>0.01</v>
      </c>
      <c r="N15">
        <v>0</v>
      </c>
      <c r="O15">
        <v>0</v>
      </c>
      <c r="P15">
        <v>1</v>
      </c>
      <c r="Q15">
        <v>1</v>
      </c>
      <c r="R15">
        <v>1</v>
      </c>
      <c r="S15">
        <v>0</v>
      </c>
      <c r="T15">
        <v>1</v>
      </c>
      <c r="U15">
        <v>0</v>
      </c>
      <c r="V15">
        <v>1</v>
      </c>
      <c r="W15">
        <v>0</v>
      </c>
      <c r="X15">
        <v>1</v>
      </c>
    </row>
    <row r="16" spans="1:30" x14ac:dyDescent="0.25">
      <c r="R16" t="s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P80"/>
  <sheetViews>
    <sheetView workbookViewId="0">
      <pane ySplit="1" topLeftCell="A18" activePane="bottomLeft" state="frozen"/>
      <selection pane="bottomLeft" activeCell="H43" sqref="H43"/>
    </sheetView>
  </sheetViews>
  <sheetFormatPr defaultRowHeight="13.2" x14ac:dyDescent="0.25"/>
  <cols>
    <col min="1" max="1" width="16.109375" customWidth="1"/>
    <col min="2" max="2" width="12.5546875" customWidth="1"/>
    <col min="3" max="3" width="14.109375" customWidth="1"/>
    <col min="5" max="5" width="12.6640625" customWidth="1"/>
  </cols>
  <sheetData>
    <row r="1" spans="1:42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</row>
    <row r="2" spans="1:42" x14ac:dyDescent="0.25">
      <c r="A2" t="s">
        <v>12</v>
      </c>
      <c r="B2">
        <v>31</v>
      </c>
      <c r="C2">
        <v>21</v>
      </c>
      <c r="D2">
        <v>1</v>
      </c>
      <c r="E2">
        <v>5.0000000000000001E-3</v>
      </c>
      <c r="F2">
        <v>0.03</v>
      </c>
      <c r="G2">
        <v>0.05</v>
      </c>
      <c r="H2">
        <v>1</v>
      </c>
      <c r="I2">
        <v>0</v>
      </c>
      <c r="J2">
        <v>398</v>
      </c>
      <c r="AO2">
        <v>-107.47370122785158</v>
      </c>
      <c r="AP2">
        <v>-8.3511106373194401</v>
      </c>
    </row>
    <row r="3" spans="1:42" x14ac:dyDescent="0.25">
      <c r="A3" t="s">
        <v>13</v>
      </c>
      <c r="B3">
        <v>32</v>
      </c>
      <c r="C3">
        <v>21</v>
      </c>
      <c r="D3">
        <v>2</v>
      </c>
      <c r="E3">
        <v>5.0000000000000001E-3</v>
      </c>
      <c r="F3">
        <v>0.03</v>
      </c>
      <c r="G3">
        <v>0.05</v>
      </c>
      <c r="H3">
        <v>1</v>
      </c>
      <c r="I3">
        <v>0</v>
      </c>
      <c r="J3">
        <v>398</v>
      </c>
      <c r="AO3">
        <v>-107.47370128018632</v>
      </c>
      <c r="AP3">
        <v>-8.3511106268176594</v>
      </c>
    </row>
    <row r="4" spans="1:42" x14ac:dyDescent="0.25">
      <c r="A4" t="s">
        <v>14</v>
      </c>
      <c r="B4">
        <v>31</v>
      </c>
      <c r="C4">
        <v>32</v>
      </c>
      <c r="D4">
        <v>1</v>
      </c>
      <c r="E4">
        <v>0</v>
      </c>
      <c r="F4">
        <v>1E-3</v>
      </c>
      <c r="G4">
        <v>0</v>
      </c>
      <c r="H4">
        <v>1</v>
      </c>
      <c r="I4">
        <v>0</v>
      </c>
      <c r="J4">
        <v>346.6</v>
      </c>
      <c r="AO4">
        <v>1.6093354639908274E-6</v>
      </c>
      <c r="AP4">
        <v>0</v>
      </c>
    </row>
    <row r="5" spans="1:42" x14ac:dyDescent="0.25">
      <c r="A5" t="s">
        <v>15</v>
      </c>
      <c r="B5">
        <v>41</v>
      </c>
      <c r="C5">
        <v>21</v>
      </c>
      <c r="D5">
        <v>1</v>
      </c>
      <c r="E5">
        <v>8.3000000000000001E-3</v>
      </c>
      <c r="F5">
        <v>2.8000000000000001E-2</v>
      </c>
      <c r="G5">
        <v>1.2999999999999999E-2</v>
      </c>
      <c r="H5">
        <v>1</v>
      </c>
      <c r="I5">
        <v>0</v>
      </c>
      <c r="J5">
        <v>346.6</v>
      </c>
      <c r="AO5">
        <v>234.44434447667822</v>
      </c>
      <c r="AP5">
        <v>-25.96963175919559</v>
      </c>
    </row>
    <row r="6" spans="1:42" x14ac:dyDescent="0.25">
      <c r="A6" t="s">
        <v>16</v>
      </c>
      <c r="B6">
        <v>81</v>
      </c>
      <c r="C6">
        <v>77</v>
      </c>
      <c r="D6">
        <v>1</v>
      </c>
      <c r="E6">
        <v>4.3E-3</v>
      </c>
      <c r="F6">
        <v>5.3699999999999998E-2</v>
      </c>
      <c r="G6">
        <v>0.1</v>
      </c>
      <c r="H6">
        <v>1</v>
      </c>
      <c r="I6">
        <v>0</v>
      </c>
      <c r="J6">
        <v>71.7</v>
      </c>
      <c r="AO6">
        <v>-56.978080273467327</v>
      </c>
      <c r="AP6">
        <v>-3.3924118109112826</v>
      </c>
    </row>
    <row r="7" spans="1:42" x14ac:dyDescent="0.25">
      <c r="A7" t="s">
        <v>17</v>
      </c>
      <c r="B7">
        <v>91</v>
      </c>
      <c r="C7">
        <v>41</v>
      </c>
      <c r="D7">
        <v>1</v>
      </c>
      <c r="E7">
        <v>4.0000000000000001E-3</v>
      </c>
      <c r="F7">
        <v>0.06</v>
      </c>
      <c r="G7">
        <v>0.09</v>
      </c>
      <c r="H7">
        <v>1</v>
      </c>
      <c r="I7">
        <v>0</v>
      </c>
      <c r="J7">
        <v>346.6</v>
      </c>
      <c r="AO7">
        <v>194.77539311637204</v>
      </c>
      <c r="AP7">
        <v>-4.7729346560533683</v>
      </c>
    </row>
    <row r="8" spans="1:42" x14ac:dyDescent="0.25">
      <c r="A8" t="s">
        <v>18</v>
      </c>
      <c r="B8">
        <v>91</v>
      </c>
      <c r="C8">
        <v>41</v>
      </c>
      <c r="D8">
        <v>2</v>
      </c>
      <c r="E8">
        <v>4.0000000000000001E-3</v>
      </c>
      <c r="F8">
        <v>0.06</v>
      </c>
      <c r="G8">
        <v>0.09</v>
      </c>
      <c r="H8">
        <v>1</v>
      </c>
      <c r="I8">
        <v>0</v>
      </c>
      <c r="J8">
        <v>346.6</v>
      </c>
      <c r="AO8">
        <v>194.77539311637204</v>
      </c>
      <c r="AP8">
        <v>-4.7729346560533683</v>
      </c>
    </row>
    <row r="9" spans="1:42" x14ac:dyDescent="0.25">
      <c r="A9" t="s">
        <v>19</v>
      </c>
      <c r="B9">
        <v>111</v>
      </c>
      <c r="C9">
        <v>91</v>
      </c>
      <c r="D9">
        <v>1</v>
      </c>
      <c r="E9">
        <v>2.2000000000000001E-3</v>
      </c>
      <c r="F9">
        <v>7.2999999999999995E-2</v>
      </c>
      <c r="G9">
        <v>0.1</v>
      </c>
      <c r="H9">
        <v>1</v>
      </c>
      <c r="I9">
        <v>0</v>
      </c>
      <c r="J9">
        <v>346.6</v>
      </c>
      <c r="AO9">
        <v>96.385635961741485</v>
      </c>
      <c r="AP9">
        <v>-4.7790177822562008</v>
      </c>
    </row>
    <row r="10" spans="1:42" x14ac:dyDescent="0.25">
      <c r="A10" t="s">
        <v>20</v>
      </c>
      <c r="B10">
        <v>111</v>
      </c>
      <c r="C10">
        <v>91</v>
      </c>
      <c r="D10">
        <v>2</v>
      </c>
      <c r="E10">
        <v>2.2000000000000001E-3</v>
      </c>
      <c r="F10">
        <v>7.2999999999999995E-2</v>
      </c>
      <c r="G10">
        <v>0.1</v>
      </c>
      <c r="H10">
        <v>1</v>
      </c>
      <c r="I10">
        <v>0</v>
      </c>
      <c r="J10">
        <v>346.6</v>
      </c>
      <c r="AO10">
        <v>96.385635961741485</v>
      </c>
      <c r="AP10">
        <v>-4.7790177822562008</v>
      </c>
    </row>
    <row r="11" spans="1:42" x14ac:dyDescent="0.25">
      <c r="A11" t="s">
        <v>21</v>
      </c>
      <c r="B11">
        <v>111</v>
      </c>
      <c r="C11">
        <v>101</v>
      </c>
      <c r="D11">
        <v>1</v>
      </c>
      <c r="E11">
        <v>6.3E-3</v>
      </c>
      <c r="F11">
        <v>9.5000000000000001E-2</v>
      </c>
      <c r="G11">
        <v>0.15</v>
      </c>
      <c r="H11">
        <v>1</v>
      </c>
      <c r="I11">
        <v>0</v>
      </c>
      <c r="J11">
        <v>346.6</v>
      </c>
      <c r="AO11">
        <v>11.621100795391518</v>
      </c>
      <c r="AP11">
        <v>2.4544598363750056</v>
      </c>
    </row>
    <row r="12" spans="1:42" x14ac:dyDescent="0.25">
      <c r="A12" t="s">
        <v>22</v>
      </c>
      <c r="B12">
        <v>121</v>
      </c>
      <c r="C12">
        <v>111</v>
      </c>
      <c r="D12">
        <v>1</v>
      </c>
      <c r="E12">
        <v>4.3E-3</v>
      </c>
      <c r="F12">
        <v>9.8000000000000004E-2</v>
      </c>
      <c r="G12">
        <v>0.09</v>
      </c>
      <c r="H12">
        <v>1</v>
      </c>
      <c r="I12">
        <v>0</v>
      </c>
      <c r="J12">
        <v>346.6</v>
      </c>
      <c r="AO12">
        <v>-13.58395342912856</v>
      </c>
      <c r="AP12">
        <v>4.6334292835754298E-2</v>
      </c>
    </row>
    <row r="13" spans="1:42" x14ac:dyDescent="0.25">
      <c r="A13" t="s">
        <v>23</v>
      </c>
      <c r="B13">
        <v>131</v>
      </c>
      <c r="C13">
        <v>41</v>
      </c>
      <c r="D13">
        <v>1</v>
      </c>
      <c r="E13">
        <v>0.01</v>
      </c>
      <c r="F13">
        <v>0.1</v>
      </c>
      <c r="G13">
        <v>0.15</v>
      </c>
      <c r="H13">
        <v>1</v>
      </c>
      <c r="I13">
        <v>0</v>
      </c>
      <c r="J13">
        <v>346.6</v>
      </c>
      <c r="AO13">
        <v>-69.372026490403655</v>
      </c>
      <c r="AP13">
        <v>11.489003411326371</v>
      </c>
    </row>
    <row r="14" spans="1:42" x14ac:dyDescent="0.25">
      <c r="A14" t="s">
        <v>24</v>
      </c>
      <c r="B14">
        <v>139</v>
      </c>
      <c r="C14">
        <v>141</v>
      </c>
      <c r="D14">
        <v>1</v>
      </c>
      <c r="E14">
        <v>0.1</v>
      </c>
      <c r="F14">
        <v>0.3</v>
      </c>
      <c r="G14">
        <v>0.15</v>
      </c>
      <c r="H14">
        <v>1</v>
      </c>
      <c r="I14">
        <v>0</v>
      </c>
      <c r="J14">
        <v>346.6</v>
      </c>
      <c r="AO14">
        <v>-61.289501500575561</v>
      </c>
      <c r="AP14">
        <v>30.163991115127875</v>
      </c>
    </row>
    <row r="15" spans="1:42" x14ac:dyDescent="0.25">
      <c r="A15" t="s">
        <v>25</v>
      </c>
      <c r="B15">
        <v>133</v>
      </c>
      <c r="C15">
        <v>171</v>
      </c>
      <c r="D15">
        <v>1</v>
      </c>
      <c r="E15">
        <v>0.01</v>
      </c>
      <c r="F15">
        <v>0.1</v>
      </c>
      <c r="G15">
        <v>0.15</v>
      </c>
      <c r="H15">
        <v>1</v>
      </c>
      <c r="I15">
        <v>0</v>
      </c>
      <c r="J15">
        <v>346.6</v>
      </c>
      <c r="AO15">
        <v>-90.945900108991125</v>
      </c>
      <c r="AP15">
        <v>44.77910467148287</v>
      </c>
    </row>
    <row r="16" spans="1:42" x14ac:dyDescent="0.25">
      <c r="A16" t="s">
        <v>26</v>
      </c>
      <c r="B16">
        <v>137</v>
      </c>
      <c r="C16">
        <v>191</v>
      </c>
      <c r="D16">
        <v>1</v>
      </c>
      <c r="E16">
        <v>0.01</v>
      </c>
      <c r="F16">
        <v>0.1</v>
      </c>
      <c r="G16">
        <v>0.15</v>
      </c>
      <c r="H16">
        <v>1</v>
      </c>
      <c r="I16">
        <v>0</v>
      </c>
      <c r="J16">
        <v>346.6</v>
      </c>
      <c r="AO16">
        <v>-217.98750769485446</v>
      </c>
      <c r="AP16">
        <v>56.969881233186456</v>
      </c>
    </row>
    <row r="17" spans="1:42" x14ac:dyDescent="0.25">
      <c r="A17" t="s">
        <v>27</v>
      </c>
      <c r="B17">
        <v>141</v>
      </c>
      <c r="C17">
        <v>101</v>
      </c>
      <c r="D17">
        <v>1</v>
      </c>
      <c r="E17">
        <v>5.0000000000000001E-3</v>
      </c>
      <c r="F17">
        <v>9.6000000000000002E-2</v>
      </c>
      <c r="G17">
        <v>4.0000000000000001E-3</v>
      </c>
      <c r="H17">
        <v>1</v>
      </c>
      <c r="I17">
        <v>0</v>
      </c>
      <c r="J17">
        <v>346.6</v>
      </c>
      <c r="AO17">
        <v>74.348760678474108</v>
      </c>
      <c r="AP17">
        <v>4.1056813283196041</v>
      </c>
    </row>
    <row r="18" spans="1:42" x14ac:dyDescent="0.25">
      <c r="A18" t="s">
        <v>28</v>
      </c>
      <c r="B18">
        <v>141</v>
      </c>
      <c r="C18">
        <v>121</v>
      </c>
      <c r="D18">
        <v>1</v>
      </c>
      <c r="E18">
        <v>2.0000000000000001E-4</v>
      </c>
      <c r="F18">
        <v>0.10199999999999999</v>
      </c>
      <c r="G18">
        <v>0.09</v>
      </c>
      <c r="H18">
        <v>1</v>
      </c>
      <c r="I18">
        <v>0</v>
      </c>
      <c r="J18">
        <v>346.6</v>
      </c>
      <c r="AO18">
        <v>72.307239625591336</v>
      </c>
      <c r="AP18">
        <v>5.2142187468829242</v>
      </c>
    </row>
    <row r="19" spans="1:42" x14ac:dyDescent="0.25">
      <c r="A19" t="s">
        <v>29</v>
      </c>
      <c r="B19">
        <v>152</v>
      </c>
      <c r="C19">
        <v>141</v>
      </c>
      <c r="D19">
        <v>1</v>
      </c>
      <c r="E19">
        <v>1.3899999999999999E-2</v>
      </c>
      <c r="F19">
        <v>7.1199999999999999E-2</v>
      </c>
      <c r="G19">
        <v>0.15</v>
      </c>
      <c r="H19">
        <v>1</v>
      </c>
      <c r="I19">
        <v>0</v>
      </c>
      <c r="J19">
        <v>518</v>
      </c>
      <c r="AO19">
        <v>-239.16057401008297</v>
      </c>
      <c r="AP19">
        <v>23.700361741451729</v>
      </c>
    </row>
    <row r="20" spans="1:42" x14ac:dyDescent="0.25">
      <c r="A20" t="s">
        <v>30</v>
      </c>
      <c r="B20">
        <v>151</v>
      </c>
      <c r="C20">
        <v>141</v>
      </c>
      <c r="D20">
        <v>2</v>
      </c>
      <c r="E20">
        <v>1.3899999999999999E-2</v>
      </c>
      <c r="F20">
        <v>7.1199999999999999E-2</v>
      </c>
      <c r="G20">
        <v>0.15</v>
      </c>
      <c r="H20">
        <v>1</v>
      </c>
      <c r="I20">
        <v>0</v>
      </c>
      <c r="J20">
        <v>518</v>
      </c>
      <c r="AO20">
        <v>-239.16057394230785</v>
      </c>
      <c r="AP20">
        <v>23.700361714726785</v>
      </c>
    </row>
    <row r="21" spans="1:42" x14ac:dyDescent="0.25">
      <c r="A21" t="s">
        <v>31</v>
      </c>
      <c r="B21">
        <v>161</v>
      </c>
      <c r="C21">
        <v>151</v>
      </c>
      <c r="D21">
        <v>1</v>
      </c>
      <c r="E21">
        <v>1.9800000000000002E-2</v>
      </c>
      <c r="F21">
        <v>9.01E-2</v>
      </c>
      <c r="G21">
        <v>0.1</v>
      </c>
      <c r="H21">
        <v>1</v>
      </c>
      <c r="I21">
        <v>0</v>
      </c>
      <c r="J21">
        <v>199.2</v>
      </c>
      <c r="AO21">
        <v>-8.0023783324852236</v>
      </c>
      <c r="AP21">
        <v>36.530085137896606</v>
      </c>
    </row>
    <row r="22" spans="1:42" x14ac:dyDescent="0.25">
      <c r="A22" t="s">
        <v>32</v>
      </c>
      <c r="B22">
        <v>161</v>
      </c>
      <c r="C22">
        <v>152</v>
      </c>
      <c r="D22">
        <v>2</v>
      </c>
      <c r="E22">
        <v>1.9800000000000002E-2</v>
      </c>
      <c r="F22">
        <v>9.01E-2</v>
      </c>
      <c r="G22">
        <v>0.1</v>
      </c>
      <c r="H22">
        <v>1</v>
      </c>
      <c r="I22">
        <v>0</v>
      </c>
      <c r="J22">
        <v>199.2</v>
      </c>
      <c r="AO22">
        <v>-8.0023782768415543</v>
      </c>
      <c r="AP22">
        <v>36.530085124781394</v>
      </c>
    </row>
    <row r="23" spans="1:42" x14ac:dyDescent="0.25">
      <c r="A23" t="s">
        <v>33</v>
      </c>
      <c r="B23">
        <v>151</v>
      </c>
      <c r="C23">
        <v>152</v>
      </c>
      <c r="D23">
        <v>1</v>
      </c>
      <c r="E23">
        <v>0</v>
      </c>
      <c r="F23">
        <v>1E-3</v>
      </c>
      <c r="G23">
        <v>0</v>
      </c>
      <c r="H23">
        <v>1</v>
      </c>
      <c r="I23">
        <v>0</v>
      </c>
      <c r="J23">
        <v>346.6</v>
      </c>
      <c r="AO23">
        <v>5.1064626751771107E-6</v>
      </c>
      <c r="AP23">
        <v>0</v>
      </c>
    </row>
    <row r="24" spans="1:42" x14ac:dyDescent="0.25">
      <c r="A24" t="s">
        <v>34</v>
      </c>
      <c r="B24">
        <v>171</v>
      </c>
      <c r="C24">
        <v>161</v>
      </c>
      <c r="D24">
        <v>1</v>
      </c>
      <c r="E24">
        <v>1.6899999999999998E-2</v>
      </c>
      <c r="F24">
        <v>9.6799999999999997E-2</v>
      </c>
      <c r="G24">
        <v>0.15</v>
      </c>
      <c r="H24">
        <v>1</v>
      </c>
      <c r="I24">
        <v>0</v>
      </c>
      <c r="J24">
        <v>199.2</v>
      </c>
      <c r="AO24">
        <v>-99.752977036629943</v>
      </c>
      <c r="AP24">
        <v>-0.54868831311160049</v>
      </c>
    </row>
    <row r="25" spans="1:42" x14ac:dyDescent="0.25">
      <c r="A25" t="s">
        <v>35</v>
      </c>
      <c r="B25">
        <v>182</v>
      </c>
      <c r="C25">
        <v>13</v>
      </c>
      <c r="D25">
        <v>1</v>
      </c>
      <c r="E25">
        <v>9.4999999999999998E-3</v>
      </c>
      <c r="F25">
        <v>0.1042</v>
      </c>
      <c r="G25">
        <v>0.16</v>
      </c>
      <c r="H25">
        <v>1</v>
      </c>
      <c r="I25">
        <v>0</v>
      </c>
      <c r="J25">
        <v>47.8</v>
      </c>
      <c r="AO25">
        <v>33.949167764721125</v>
      </c>
      <c r="AP25">
        <v>-6.9174345577747793</v>
      </c>
    </row>
    <row r="26" spans="1:42" x14ac:dyDescent="0.25">
      <c r="A26" t="s">
        <v>36</v>
      </c>
      <c r="B26">
        <v>181</v>
      </c>
      <c r="C26">
        <v>161</v>
      </c>
      <c r="D26">
        <v>1</v>
      </c>
      <c r="E26">
        <v>2.58E-2</v>
      </c>
      <c r="F26">
        <v>8.48E-2</v>
      </c>
      <c r="G26">
        <v>0.16</v>
      </c>
      <c r="H26">
        <v>1</v>
      </c>
      <c r="I26">
        <v>0</v>
      </c>
      <c r="J26">
        <v>159.30000000000001</v>
      </c>
      <c r="AO26">
        <v>-74.568723813264029</v>
      </c>
      <c r="AP26">
        <v>17.617669250600496</v>
      </c>
    </row>
    <row r="27" spans="1:42" x14ac:dyDescent="0.25">
      <c r="A27" t="s">
        <v>37</v>
      </c>
      <c r="B27">
        <v>191</v>
      </c>
      <c r="C27">
        <v>31</v>
      </c>
      <c r="D27">
        <v>1</v>
      </c>
      <c r="E27">
        <v>7.0000000000000001E-3</v>
      </c>
      <c r="F27">
        <v>0.04</v>
      </c>
      <c r="G27">
        <v>0.05</v>
      </c>
      <c r="H27">
        <v>1</v>
      </c>
      <c r="I27">
        <v>0</v>
      </c>
      <c r="J27">
        <v>398</v>
      </c>
      <c r="AO27">
        <v>0</v>
      </c>
      <c r="AP27">
        <v>0</v>
      </c>
    </row>
    <row r="28" spans="1:42" x14ac:dyDescent="0.25">
      <c r="A28" t="s">
        <v>38</v>
      </c>
      <c r="B28">
        <v>191</v>
      </c>
      <c r="C28">
        <v>32</v>
      </c>
      <c r="D28">
        <v>2</v>
      </c>
      <c r="E28">
        <v>7.0000000000000001E-3</v>
      </c>
      <c r="F28">
        <v>0.04</v>
      </c>
      <c r="G28">
        <v>0.05</v>
      </c>
      <c r="H28">
        <v>1</v>
      </c>
      <c r="I28">
        <v>0</v>
      </c>
      <c r="J28">
        <v>398</v>
      </c>
      <c r="AO28">
        <v>0</v>
      </c>
      <c r="AP28">
        <v>0</v>
      </c>
    </row>
    <row r="29" spans="1:42" x14ac:dyDescent="0.25">
      <c r="A29" t="s">
        <v>39</v>
      </c>
      <c r="B29">
        <v>191</v>
      </c>
      <c r="C29">
        <v>161</v>
      </c>
      <c r="D29">
        <v>1</v>
      </c>
      <c r="E29">
        <v>1.4800000000000001E-2</v>
      </c>
      <c r="F29">
        <v>9.9500000000000005E-2</v>
      </c>
      <c r="G29">
        <v>0.15</v>
      </c>
      <c r="H29">
        <v>1</v>
      </c>
      <c r="I29">
        <v>0</v>
      </c>
      <c r="J29">
        <v>159.30000000000001</v>
      </c>
      <c r="AO29">
        <v>71.299316285117172</v>
      </c>
      <c r="AP29">
        <v>-9.477164803688872</v>
      </c>
    </row>
    <row r="30" spans="1:42" x14ac:dyDescent="0.25">
      <c r="A30" t="s">
        <v>40</v>
      </c>
      <c r="B30">
        <v>191</v>
      </c>
      <c r="C30">
        <v>171</v>
      </c>
      <c r="D30">
        <v>1</v>
      </c>
      <c r="E30">
        <v>2.7699999999999999E-2</v>
      </c>
      <c r="F30">
        <v>9.2600000000000002E-2</v>
      </c>
      <c r="G30">
        <v>0.12</v>
      </c>
      <c r="H30">
        <v>1</v>
      </c>
      <c r="I30">
        <v>0</v>
      </c>
      <c r="J30">
        <v>199.2</v>
      </c>
      <c r="AO30">
        <v>175.49931366779501</v>
      </c>
      <c r="AP30">
        <v>-13.92526791488004</v>
      </c>
    </row>
    <row r="31" spans="1:42" x14ac:dyDescent="0.25">
      <c r="A31" t="s">
        <v>41</v>
      </c>
      <c r="B31">
        <v>201</v>
      </c>
      <c r="C31">
        <v>191</v>
      </c>
      <c r="D31">
        <v>1</v>
      </c>
      <c r="E31">
        <v>3.0000000000000001E-3</v>
      </c>
      <c r="F31">
        <v>0.06</v>
      </c>
      <c r="G31">
        <v>0.09</v>
      </c>
      <c r="H31">
        <v>1</v>
      </c>
      <c r="I31">
        <v>0</v>
      </c>
      <c r="J31">
        <v>398</v>
      </c>
      <c r="AO31">
        <v>-200.31381746023564</v>
      </c>
      <c r="AP31">
        <v>4.8600925803245172</v>
      </c>
    </row>
    <row r="32" spans="1:42" x14ac:dyDescent="0.25">
      <c r="A32" t="s">
        <v>42</v>
      </c>
      <c r="B32">
        <v>201</v>
      </c>
      <c r="C32">
        <v>191</v>
      </c>
      <c r="D32">
        <v>2</v>
      </c>
      <c r="E32">
        <v>3.0000000000000001E-3</v>
      </c>
      <c r="F32">
        <v>0.06</v>
      </c>
      <c r="G32">
        <v>0.09</v>
      </c>
      <c r="H32">
        <v>1</v>
      </c>
      <c r="I32">
        <v>0</v>
      </c>
      <c r="J32">
        <v>398</v>
      </c>
      <c r="AO32">
        <v>-200.31381746023564</v>
      </c>
      <c r="AP32">
        <v>4.8600925803245172</v>
      </c>
    </row>
    <row r="33" spans="1:42" x14ac:dyDescent="0.25">
      <c r="A33" t="s">
        <v>43</v>
      </c>
      <c r="B33">
        <v>203</v>
      </c>
      <c r="C33">
        <v>11</v>
      </c>
      <c r="D33">
        <v>1</v>
      </c>
      <c r="E33">
        <v>8.3000000000000001E-3</v>
      </c>
      <c r="F33">
        <v>0.1027</v>
      </c>
      <c r="G33">
        <v>0.1</v>
      </c>
      <c r="H33">
        <v>1</v>
      </c>
      <c r="I33">
        <v>0</v>
      </c>
      <c r="J33">
        <v>47.8</v>
      </c>
      <c r="AO33">
        <v>18.596421723639274</v>
      </c>
      <c r="AP33">
        <v>-5.8686465732596931</v>
      </c>
    </row>
    <row r="34" spans="1:42" x14ac:dyDescent="0.25">
      <c r="A34" t="s">
        <v>44</v>
      </c>
      <c r="B34">
        <v>201</v>
      </c>
      <c r="C34">
        <v>161</v>
      </c>
      <c r="D34">
        <v>1</v>
      </c>
      <c r="E34">
        <v>1.8100000000000002E-2</v>
      </c>
      <c r="F34">
        <v>9.5799999999999996E-2</v>
      </c>
      <c r="G34">
        <v>0.15</v>
      </c>
      <c r="H34">
        <v>1</v>
      </c>
      <c r="I34">
        <v>0</v>
      </c>
      <c r="J34">
        <v>159.30000000000001</v>
      </c>
      <c r="AO34">
        <v>-51.648765608492717</v>
      </c>
      <c r="AP34">
        <v>-1.5847030702961535</v>
      </c>
    </row>
    <row r="35" spans="1:42" x14ac:dyDescent="0.25">
      <c r="A35" t="s">
        <v>45</v>
      </c>
      <c r="B35">
        <v>203</v>
      </c>
      <c r="C35">
        <v>174</v>
      </c>
      <c r="D35">
        <v>1</v>
      </c>
      <c r="E35">
        <v>8.0000000000000002E-3</v>
      </c>
      <c r="F35">
        <v>0.1028</v>
      </c>
      <c r="G35">
        <v>0.03</v>
      </c>
      <c r="H35">
        <v>1</v>
      </c>
      <c r="I35">
        <v>0</v>
      </c>
      <c r="J35">
        <v>104</v>
      </c>
      <c r="AO35">
        <v>-4.2006141114988553</v>
      </c>
      <c r="AP35">
        <v>8.0036436749569599</v>
      </c>
    </row>
    <row r="36" spans="1:42" x14ac:dyDescent="0.25">
      <c r="A36" t="s">
        <v>46</v>
      </c>
      <c r="B36">
        <v>201</v>
      </c>
      <c r="C36">
        <v>181</v>
      </c>
      <c r="D36">
        <v>1</v>
      </c>
      <c r="E36">
        <v>2.2000000000000001E-3</v>
      </c>
      <c r="F36">
        <v>7.3200000000000001E-2</v>
      </c>
      <c r="G36">
        <v>0.16</v>
      </c>
      <c r="H36">
        <v>1</v>
      </c>
      <c r="I36">
        <v>0</v>
      </c>
      <c r="J36">
        <v>159.30000000000001</v>
      </c>
      <c r="AO36">
        <v>24.497846133820559</v>
      </c>
      <c r="AP36">
        <v>-8.0154133612402685</v>
      </c>
    </row>
    <row r="37" spans="1:42" x14ac:dyDescent="0.25">
      <c r="A37" t="s">
        <v>47</v>
      </c>
      <c r="B37">
        <v>212</v>
      </c>
      <c r="C37">
        <v>12</v>
      </c>
      <c r="D37">
        <v>1</v>
      </c>
      <c r="E37">
        <v>2.3E-3</v>
      </c>
      <c r="F37">
        <v>6.8000000000000005E-2</v>
      </c>
      <c r="G37">
        <v>0.1</v>
      </c>
      <c r="H37">
        <v>1</v>
      </c>
      <c r="I37">
        <v>0</v>
      </c>
      <c r="J37">
        <v>104</v>
      </c>
      <c r="AO37">
        <v>39.676826146012658</v>
      </c>
      <c r="AP37">
        <v>-8.5199388240434129</v>
      </c>
    </row>
    <row r="38" spans="1:42" x14ac:dyDescent="0.25">
      <c r="A38" t="s">
        <v>48</v>
      </c>
      <c r="B38">
        <v>211</v>
      </c>
      <c r="C38">
        <v>201</v>
      </c>
      <c r="D38">
        <v>1</v>
      </c>
      <c r="E38">
        <v>1.2999999999999999E-3</v>
      </c>
      <c r="F38">
        <v>4.3400000000000001E-2</v>
      </c>
      <c r="G38">
        <v>0.05</v>
      </c>
      <c r="H38">
        <v>1</v>
      </c>
      <c r="I38">
        <v>0</v>
      </c>
      <c r="J38">
        <v>239</v>
      </c>
      <c r="AO38">
        <v>-207.92664840540215</v>
      </c>
      <c r="AP38">
        <v>1.1175946847891922</v>
      </c>
    </row>
    <row r="39" spans="1:42" x14ac:dyDescent="0.25">
      <c r="A39" t="s">
        <v>49</v>
      </c>
      <c r="B39">
        <v>221</v>
      </c>
      <c r="C39">
        <v>21</v>
      </c>
      <c r="D39">
        <v>1</v>
      </c>
      <c r="E39">
        <v>5.0000000000000001E-3</v>
      </c>
      <c r="F39">
        <v>0.06</v>
      </c>
      <c r="G39">
        <v>1.2E-2</v>
      </c>
      <c r="H39">
        <v>1</v>
      </c>
      <c r="I39">
        <v>0</v>
      </c>
      <c r="J39">
        <v>159.30000000000001</v>
      </c>
      <c r="AO39">
        <v>21.811256806961644</v>
      </c>
      <c r="AP39">
        <v>-16.099449593725645</v>
      </c>
    </row>
    <row r="40" spans="1:42" x14ac:dyDescent="0.25">
      <c r="A40" t="s">
        <v>50</v>
      </c>
      <c r="B40">
        <v>221</v>
      </c>
      <c r="C40">
        <v>91</v>
      </c>
      <c r="D40">
        <v>1</v>
      </c>
      <c r="E40">
        <v>3.0000000000000001E-3</v>
      </c>
      <c r="F40">
        <v>0.09</v>
      </c>
      <c r="G40">
        <v>0.09</v>
      </c>
      <c r="H40">
        <v>0</v>
      </c>
      <c r="I40">
        <v>0</v>
      </c>
      <c r="J40">
        <v>346.6</v>
      </c>
      <c r="AO40">
        <v>-185.86577092642582</v>
      </c>
      <c r="AP40">
        <v>4.0773273662038676</v>
      </c>
    </row>
    <row r="41" spans="1:42" x14ac:dyDescent="0.25">
      <c r="A41" t="s">
        <v>51</v>
      </c>
      <c r="B41">
        <v>221</v>
      </c>
      <c r="C41">
        <v>21</v>
      </c>
      <c r="D41">
        <v>2</v>
      </c>
      <c r="E41">
        <v>5.0000000000000001E-3</v>
      </c>
      <c r="F41">
        <v>0.06</v>
      </c>
      <c r="G41">
        <v>1.2E-2</v>
      </c>
      <c r="H41">
        <v>1</v>
      </c>
      <c r="I41">
        <v>0</v>
      </c>
      <c r="J41">
        <v>159.30000000000001</v>
      </c>
      <c r="AO41">
        <v>21.811256806961644</v>
      </c>
      <c r="AP41">
        <v>-16.099449593725645</v>
      </c>
    </row>
    <row r="42" spans="1:42" x14ac:dyDescent="0.25">
      <c r="A42" t="s">
        <v>52</v>
      </c>
      <c r="B42">
        <v>221</v>
      </c>
      <c r="C42">
        <v>91</v>
      </c>
      <c r="D42">
        <v>2</v>
      </c>
      <c r="E42">
        <v>3.0000000000000001E-3</v>
      </c>
      <c r="F42">
        <v>0.09</v>
      </c>
      <c r="G42">
        <v>0.09</v>
      </c>
      <c r="H42">
        <v>0</v>
      </c>
      <c r="I42">
        <v>0</v>
      </c>
      <c r="J42">
        <v>346.6</v>
      </c>
      <c r="AO42">
        <v>-185.86577092642582</v>
      </c>
      <c r="AP42">
        <v>4.0773273662038676</v>
      </c>
    </row>
    <row r="43" spans="1:42" x14ac:dyDescent="0.25">
      <c r="A43" t="s">
        <v>53</v>
      </c>
      <c r="B43">
        <v>221</v>
      </c>
      <c r="C43">
        <v>201</v>
      </c>
      <c r="D43">
        <v>1</v>
      </c>
      <c r="E43">
        <v>2.7000000000000001E-3</v>
      </c>
      <c r="F43">
        <v>8.6900000000000005E-2</v>
      </c>
      <c r="G43">
        <v>0.09</v>
      </c>
      <c r="H43">
        <v>1</v>
      </c>
      <c r="I43">
        <v>0</v>
      </c>
      <c r="J43">
        <v>159.30000000000001</v>
      </c>
      <c r="AO43">
        <v>-62.387088132061088</v>
      </c>
      <c r="AP43">
        <v>3.2602657106450486</v>
      </c>
    </row>
    <row r="44" spans="1:42" x14ac:dyDescent="0.25">
      <c r="A44" t="s">
        <v>54</v>
      </c>
      <c r="B44">
        <v>221</v>
      </c>
      <c r="C44">
        <v>211</v>
      </c>
      <c r="D44">
        <v>1</v>
      </c>
      <c r="E44">
        <v>1.6999999999999999E-3</v>
      </c>
      <c r="F44">
        <v>5.4699999999999999E-2</v>
      </c>
      <c r="G44">
        <v>0.05</v>
      </c>
      <c r="H44">
        <v>1</v>
      </c>
      <c r="I44">
        <v>0</v>
      </c>
      <c r="J44">
        <v>159.30000000000001</v>
      </c>
      <c r="AO44">
        <v>66.839558470446249</v>
      </c>
      <c r="AP44">
        <v>10.442753583304894</v>
      </c>
    </row>
    <row r="45" spans="1:42" x14ac:dyDescent="0.25">
      <c r="A45" t="s">
        <v>55</v>
      </c>
      <c r="B45">
        <v>231</v>
      </c>
      <c r="C45">
        <v>51</v>
      </c>
      <c r="D45">
        <v>1</v>
      </c>
      <c r="E45">
        <v>6.6E-3</v>
      </c>
      <c r="F45">
        <v>0.1056</v>
      </c>
      <c r="G45">
        <v>3.0000000000000001E-3</v>
      </c>
      <c r="H45">
        <v>1</v>
      </c>
      <c r="I45">
        <v>0</v>
      </c>
      <c r="J45">
        <v>47.8</v>
      </c>
      <c r="AO45">
        <v>-58.302753200859179</v>
      </c>
      <c r="AP45">
        <v>-6.8907347028269781</v>
      </c>
    </row>
    <row r="46" spans="1:42" x14ac:dyDescent="0.25">
      <c r="A46" t="s">
        <v>56</v>
      </c>
      <c r="B46">
        <v>232</v>
      </c>
      <c r="C46">
        <v>61</v>
      </c>
      <c r="D46">
        <v>1</v>
      </c>
      <c r="E46">
        <v>8.5000000000000006E-3</v>
      </c>
      <c r="F46">
        <v>0.10199999999999999</v>
      </c>
      <c r="G46">
        <v>0.01</v>
      </c>
      <c r="H46">
        <v>1</v>
      </c>
      <c r="I46">
        <v>0</v>
      </c>
      <c r="J46">
        <v>74.3</v>
      </c>
      <c r="AO46">
        <v>42.300323752713538</v>
      </c>
      <c r="AP46">
        <v>5.7837301957837139</v>
      </c>
    </row>
    <row r="47" spans="1:42" x14ac:dyDescent="0.25">
      <c r="A47" t="s">
        <v>57</v>
      </c>
      <c r="B47">
        <v>243</v>
      </c>
      <c r="C47">
        <v>52</v>
      </c>
      <c r="D47">
        <v>1</v>
      </c>
      <c r="E47">
        <v>7.4000000000000003E-3</v>
      </c>
      <c r="F47">
        <v>0.1017</v>
      </c>
      <c r="G47">
        <v>0.1</v>
      </c>
      <c r="H47">
        <v>1</v>
      </c>
      <c r="I47">
        <v>0</v>
      </c>
      <c r="J47">
        <v>155.4</v>
      </c>
      <c r="AO47">
        <v>140.41607919375619</v>
      </c>
      <c r="AP47">
        <v>-6.7387657720249794E-2</v>
      </c>
    </row>
    <row r="48" spans="1:42" x14ac:dyDescent="0.25">
      <c r="A48" t="s">
        <v>58</v>
      </c>
      <c r="B48">
        <v>241</v>
      </c>
      <c r="C48">
        <v>113</v>
      </c>
      <c r="D48">
        <v>1</v>
      </c>
      <c r="E48">
        <v>6.1000000000000004E-3</v>
      </c>
      <c r="F48">
        <v>0.1085</v>
      </c>
      <c r="G48">
        <v>0.03</v>
      </c>
      <c r="H48">
        <v>1</v>
      </c>
      <c r="I48">
        <v>0</v>
      </c>
      <c r="J48">
        <v>191.2</v>
      </c>
      <c r="AO48">
        <v>-161.79299816779636</v>
      </c>
      <c r="AP48">
        <v>9.0223513061545706</v>
      </c>
    </row>
    <row r="49" spans="1:42" x14ac:dyDescent="0.25">
      <c r="A49" t="s">
        <v>59</v>
      </c>
      <c r="B49">
        <v>251</v>
      </c>
      <c r="C49">
        <v>11</v>
      </c>
      <c r="D49">
        <v>1</v>
      </c>
      <c r="E49">
        <v>3.0999999999999999E-3</v>
      </c>
      <c r="F49">
        <v>4.82E-2</v>
      </c>
      <c r="G49">
        <v>0.1</v>
      </c>
      <c r="H49">
        <v>1</v>
      </c>
      <c r="I49">
        <v>0</v>
      </c>
      <c r="J49">
        <v>104</v>
      </c>
      <c r="AO49">
        <v>-36.493929607422807</v>
      </c>
      <c r="AP49">
        <v>4.2208244079526125</v>
      </c>
    </row>
    <row r="50" spans="1:42" x14ac:dyDescent="0.25">
      <c r="A50" t="s">
        <v>60</v>
      </c>
      <c r="B50">
        <v>251</v>
      </c>
      <c r="C50">
        <v>52</v>
      </c>
      <c r="D50">
        <v>1</v>
      </c>
      <c r="E50">
        <v>1.9E-3</v>
      </c>
      <c r="F50">
        <v>2.9499999999999998E-2</v>
      </c>
      <c r="G50">
        <v>0.03</v>
      </c>
      <c r="H50">
        <v>1</v>
      </c>
      <c r="I50">
        <v>0</v>
      </c>
      <c r="J50">
        <v>104</v>
      </c>
      <c r="AO50">
        <v>6.3362293568374337</v>
      </c>
      <c r="AP50">
        <v>-13.118576248783709</v>
      </c>
    </row>
    <row r="51" spans="1:42" x14ac:dyDescent="0.25">
      <c r="A51" t="s">
        <v>61</v>
      </c>
      <c r="B51">
        <v>251</v>
      </c>
      <c r="C51">
        <v>75</v>
      </c>
      <c r="D51">
        <v>1</v>
      </c>
      <c r="E51">
        <v>3.0000000000000001E-3</v>
      </c>
      <c r="F51">
        <v>4.6600000000000003E-2</v>
      </c>
      <c r="G51">
        <v>0.03</v>
      </c>
      <c r="H51">
        <v>1</v>
      </c>
      <c r="I51">
        <v>0</v>
      </c>
      <c r="J51">
        <v>104</v>
      </c>
      <c r="AO51">
        <v>66.662691872763176</v>
      </c>
      <c r="AP51">
        <v>0.73264753341419564</v>
      </c>
    </row>
    <row r="52" spans="1:42" x14ac:dyDescent="0.25">
      <c r="A52" t="s">
        <v>62</v>
      </c>
      <c r="B52">
        <v>251</v>
      </c>
      <c r="C52">
        <v>203</v>
      </c>
      <c r="D52">
        <v>1</v>
      </c>
      <c r="E52">
        <v>1.5E-3</v>
      </c>
      <c r="F52">
        <v>0.1077</v>
      </c>
      <c r="G52">
        <v>5.9999999999999995E-4</v>
      </c>
      <c r="H52">
        <v>1</v>
      </c>
      <c r="I52">
        <v>0</v>
      </c>
      <c r="J52">
        <v>104</v>
      </c>
      <c r="AO52">
        <v>-34.481313821070167</v>
      </c>
      <c r="AP52">
        <v>6.2010745471960895</v>
      </c>
    </row>
    <row r="53" spans="1:42" x14ac:dyDescent="0.25">
      <c r="A53" t="s">
        <v>63</v>
      </c>
      <c r="B53">
        <v>251</v>
      </c>
      <c r="C53">
        <v>224</v>
      </c>
      <c r="D53">
        <v>1</v>
      </c>
      <c r="E53">
        <v>2.8999999999999998E-3</v>
      </c>
      <c r="F53">
        <v>5.8500000000000003E-2</v>
      </c>
      <c r="G53">
        <v>0.01</v>
      </c>
      <c r="H53">
        <v>1</v>
      </c>
      <c r="I53">
        <v>0</v>
      </c>
      <c r="J53">
        <v>104</v>
      </c>
      <c r="AO53">
        <v>-23.682324333828888</v>
      </c>
      <c r="AP53">
        <v>8.1500355283803092</v>
      </c>
    </row>
    <row r="54" spans="1:42" x14ac:dyDescent="0.25">
      <c r="A54" t="s">
        <v>64</v>
      </c>
      <c r="B54">
        <v>261</v>
      </c>
      <c r="C54">
        <v>75</v>
      </c>
      <c r="D54">
        <v>1</v>
      </c>
      <c r="E54">
        <v>2.3999999999999998E-3</v>
      </c>
      <c r="F54">
        <v>3.7900000000000003E-2</v>
      </c>
      <c r="G54">
        <v>0.1</v>
      </c>
      <c r="H54">
        <v>1</v>
      </c>
      <c r="I54">
        <v>0</v>
      </c>
      <c r="J54">
        <v>71.7</v>
      </c>
      <c r="AO54">
        <v>9.6079466977092771</v>
      </c>
      <c r="AP54">
        <v>-9.8779950322453001</v>
      </c>
    </row>
    <row r="55" spans="1:42" x14ac:dyDescent="0.25">
      <c r="A55" t="s">
        <v>65</v>
      </c>
      <c r="B55">
        <v>263</v>
      </c>
      <c r="C55">
        <v>77</v>
      </c>
      <c r="D55">
        <v>2</v>
      </c>
      <c r="E55">
        <v>3.0000000000000001E-3</v>
      </c>
      <c r="F55">
        <v>4.6600000000000003E-2</v>
      </c>
      <c r="G55">
        <v>0.1</v>
      </c>
      <c r="H55">
        <v>1</v>
      </c>
      <c r="I55">
        <v>0</v>
      </c>
      <c r="J55">
        <v>71.7</v>
      </c>
      <c r="AO55">
        <v>38.949471395068493</v>
      </c>
      <c r="AP55">
        <v>7.7792628513977373</v>
      </c>
    </row>
    <row r="56" spans="1:42" x14ac:dyDescent="0.25">
      <c r="A56" t="s">
        <v>66</v>
      </c>
      <c r="B56">
        <v>264</v>
      </c>
      <c r="C56">
        <v>13</v>
      </c>
      <c r="D56">
        <v>1</v>
      </c>
      <c r="E56">
        <v>8.9999999999999993E-3</v>
      </c>
      <c r="F56">
        <v>0.1045</v>
      </c>
      <c r="G56">
        <v>0.16</v>
      </c>
      <c r="H56">
        <v>1</v>
      </c>
      <c r="I56">
        <v>0</v>
      </c>
      <c r="J56">
        <v>47.8</v>
      </c>
      <c r="AO56">
        <v>-11.552871464511707</v>
      </c>
      <c r="AP56">
        <v>-5.6131668264883929</v>
      </c>
    </row>
    <row r="57" spans="1:42" x14ac:dyDescent="0.25">
      <c r="A57" t="s">
        <v>67</v>
      </c>
      <c r="B57">
        <v>264</v>
      </c>
      <c r="C57">
        <v>183</v>
      </c>
      <c r="D57">
        <v>1</v>
      </c>
      <c r="E57">
        <v>8.5000000000000006E-3</v>
      </c>
      <c r="F57">
        <v>0.109</v>
      </c>
      <c r="G57">
        <v>0.16</v>
      </c>
      <c r="H57">
        <v>1</v>
      </c>
      <c r="I57">
        <v>0</v>
      </c>
      <c r="J57">
        <v>47.8</v>
      </c>
      <c r="AO57">
        <v>-42.626674636997706</v>
      </c>
      <c r="AP57">
        <v>2.1080025572845571</v>
      </c>
    </row>
    <row r="58" spans="1:42" x14ac:dyDescent="0.25">
      <c r="A58" t="s">
        <v>68</v>
      </c>
      <c r="B58">
        <v>272</v>
      </c>
      <c r="C58">
        <v>62</v>
      </c>
      <c r="D58">
        <v>1</v>
      </c>
      <c r="E58">
        <v>9.4999999999999998E-3</v>
      </c>
      <c r="F58">
        <v>0.155</v>
      </c>
      <c r="G58">
        <v>0.01</v>
      </c>
      <c r="H58">
        <v>1</v>
      </c>
      <c r="I58">
        <v>0</v>
      </c>
      <c r="J58">
        <v>74.3</v>
      </c>
      <c r="AO58">
        <v>21.686452458539996</v>
      </c>
      <c r="AP58">
        <v>2.6445480989445396</v>
      </c>
    </row>
    <row r="59" spans="1:42" x14ac:dyDescent="0.25">
      <c r="A59" t="s">
        <v>69</v>
      </c>
      <c r="B59">
        <v>271</v>
      </c>
      <c r="C59">
        <v>81</v>
      </c>
      <c r="D59">
        <v>1</v>
      </c>
      <c r="E59">
        <v>5.1999999999999998E-3</v>
      </c>
      <c r="F59">
        <v>7.8E-2</v>
      </c>
      <c r="G59">
        <v>4.0000000000000002E-4</v>
      </c>
      <c r="H59">
        <v>1</v>
      </c>
      <c r="I59">
        <v>0</v>
      </c>
      <c r="J59">
        <v>71.7</v>
      </c>
      <c r="AO59">
        <v>-27.098328859064608</v>
      </c>
      <c r="AP59">
        <v>-4.665287297665019</v>
      </c>
    </row>
    <row r="60" spans="1:42" x14ac:dyDescent="0.25">
      <c r="A60" t="s">
        <v>70</v>
      </c>
      <c r="B60">
        <v>281</v>
      </c>
      <c r="C60">
        <v>143</v>
      </c>
      <c r="D60">
        <v>1</v>
      </c>
      <c r="E60">
        <v>4.4000000000000003E-3</v>
      </c>
      <c r="F60">
        <v>0.1087</v>
      </c>
      <c r="G60">
        <v>0.03</v>
      </c>
      <c r="H60">
        <v>1</v>
      </c>
      <c r="I60">
        <v>0</v>
      </c>
      <c r="J60">
        <v>143.4</v>
      </c>
      <c r="AO60">
        <v>-92.564924965589015</v>
      </c>
      <c r="AP60">
        <v>-5.0033229157435972</v>
      </c>
    </row>
    <row r="61" spans="1:42" x14ac:dyDescent="0.25">
      <c r="A61" t="s">
        <v>71</v>
      </c>
      <c r="B61">
        <v>283</v>
      </c>
      <c r="C61">
        <v>163</v>
      </c>
      <c r="D61">
        <v>1</v>
      </c>
      <c r="E61">
        <v>7.3000000000000001E-3</v>
      </c>
      <c r="F61">
        <v>0.1027</v>
      </c>
      <c r="G61">
        <v>0.03</v>
      </c>
      <c r="H61">
        <v>1</v>
      </c>
      <c r="I61">
        <v>0</v>
      </c>
      <c r="J61">
        <v>59.8</v>
      </c>
      <c r="AO61">
        <v>-6.303799272635886</v>
      </c>
      <c r="AP61">
        <v>-6.4363164233182477</v>
      </c>
    </row>
    <row r="62" spans="1:42" x14ac:dyDescent="0.25">
      <c r="A62" t="s">
        <v>72</v>
      </c>
      <c r="B62">
        <v>291</v>
      </c>
      <c r="C62">
        <v>143</v>
      </c>
      <c r="D62">
        <v>1</v>
      </c>
      <c r="E62">
        <v>4.1999999999999997E-3</v>
      </c>
      <c r="F62">
        <v>5.8700000000000002E-2</v>
      </c>
      <c r="G62">
        <v>0.03</v>
      </c>
      <c r="H62">
        <v>1</v>
      </c>
      <c r="I62">
        <v>0</v>
      </c>
      <c r="J62">
        <v>143.4</v>
      </c>
      <c r="AO62">
        <v>-5.2978891393392953</v>
      </c>
      <c r="AP62">
        <v>0.92745197092166753</v>
      </c>
    </row>
    <row r="63" spans="1:42" x14ac:dyDescent="0.25">
      <c r="A63" t="s">
        <v>73</v>
      </c>
      <c r="B63">
        <v>292</v>
      </c>
      <c r="C63">
        <v>233</v>
      </c>
      <c r="D63">
        <v>1</v>
      </c>
      <c r="E63">
        <v>6.4999999999999997E-3</v>
      </c>
      <c r="F63">
        <v>0.10539999999999999</v>
      </c>
      <c r="G63">
        <v>0.03</v>
      </c>
      <c r="H63">
        <v>1</v>
      </c>
      <c r="I63">
        <v>0</v>
      </c>
      <c r="J63">
        <v>143.4</v>
      </c>
      <c r="AO63">
        <v>-5.2850811842559953</v>
      </c>
      <c r="AP63">
        <v>0.92768361290329027</v>
      </c>
    </row>
    <row r="64" spans="1:42" x14ac:dyDescent="0.25">
      <c r="A64" t="s">
        <v>74</v>
      </c>
      <c r="B64">
        <v>12</v>
      </c>
      <c r="C64">
        <v>11</v>
      </c>
      <c r="D64">
        <v>1</v>
      </c>
      <c r="E64">
        <v>8.0000000000000004E-4</v>
      </c>
      <c r="F64">
        <v>2.3300000000000001E-2</v>
      </c>
      <c r="G64">
        <v>0</v>
      </c>
      <c r="H64">
        <v>1</v>
      </c>
      <c r="I64">
        <v>0</v>
      </c>
      <c r="J64">
        <v>1195</v>
      </c>
      <c r="AO64">
        <v>17.973576932598494</v>
      </c>
      <c r="AP64">
        <v>-6.9749352733681995</v>
      </c>
    </row>
    <row r="65" spans="1:42" x14ac:dyDescent="0.25">
      <c r="A65" t="s">
        <v>75</v>
      </c>
      <c r="B65">
        <v>52</v>
      </c>
      <c r="C65">
        <v>51</v>
      </c>
      <c r="D65">
        <v>1</v>
      </c>
      <c r="E65">
        <v>5.0000000000000001E-4</v>
      </c>
      <c r="F65">
        <v>1.52E-2</v>
      </c>
      <c r="G65">
        <v>0</v>
      </c>
      <c r="H65">
        <v>1</v>
      </c>
      <c r="I65">
        <v>0</v>
      </c>
      <c r="J65">
        <v>1195</v>
      </c>
      <c r="AO65">
        <v>145.26986412947647</v>
      </c>
      <c r="AP65">
        <v>-27.172142344507343</v>
      </c>
    </row>
    <row r="66" spans="1:42" x14ac:dyDescent="0.25">
      <c r="A66" t="s">
        <v>76</v>
      </c>
      <c r="B66">
        <v>62</v>
      </c>
      <c r="C66">
        <v>61</v>
      </c>
      <c r="D66">
        <v>1</v>
      </c>
      <c r="E66">
        <v>5.0000000000000001E-4</v>
      </c>
      <c r="F66">
        <v>0.19700000000000001</v>
      </c>
      <c r="G66">
        <v>0</v>
      </c>
      <c r="H66">
        <v>1</v>
      </c>
      <c r="I66">
        <v>0</v>
      </c>
      <c r="J66">
        <v>571</v>
      </c>
      <c r="AO66">
        <v>-10.344640384068002</v>
      </c>
      <c r="AP66">
        <v>-0.88125663944502941</v>
      </c>
    </row>
    <row r="67" spans="1:42" x14ac:dyDescent="0.25">
      <c r="A67" t="s">
        <v>77</v>
      </c>
      <c r="B67">
        <v>75</v>
      </c>
      <c r="C67">
        <v>77</v>
      </c>
      <c r="D67">
        <v>1</v>
      </c>
      <c r="E67">
        <v>8.9999999999999998E-4</v>
      </c>
      <c r="F67">
        <v>3.6600000000000001E-2</v>
      </c>
      <c r="G67">
        <v>0</v>
      </c>
      <c r="H67">
        <v>1</v>
      </c>
      <c r="I67">
        <v>0</v>
      </c>
      <c r="J67">
        <v>1195</v>
      </c>
      <c r="AO67">
        <v>47.284563530155246</v>
      </c>
      <c r="AP67">
        <v>-7.8839940764137779</v>
      </c>
    </row>
    <row r="68" spans="1:42" x14ac:dyDescent="0.25">
      <c r="A68" t="s">
        <v>78</v>
      </c>
      <c r="B68">
        <v>137</v>
      </c>
      <c r="C68">
        <v>131</v>
      </c>
      <c r="D68">
        <v>1</v>
      </c>
      <c r="E68">
        <v>1E-3</v>
      </c>
      <c r="F68">
        <v>0.4</v>
      </c>
      <c r="G68">
        <v>0</v>
      </c>
      <c r="H68">
        <v>1</v>
      </c>
      <c r="I68">
        <v>0</v>
      </c>
      <c r="J68">
        <v>3983</v>
      </c>
      <c r="AO68">
        <v>-7.6380901433090838</v>
      </c>
      <c r="AP68">
        <v>0.13581368763422808</v>
      </c>
    </row>
    <row r="69" spans="1:42" x14ac:dyDescent="0.25">
      <c r="A69" t="s">
        <v>79</v>
      </c>
      <c r="B69">
        <v>137</v>
      </c>
      <c r="C69">
        <v>133</v>
      </c>
      <c r="D69">
        <v>1</v>
      </c>
      <c r="E69">
        <v>1E-3</v>
      </c>
      <c r="F69">
        <v>0.1</v>
      </c>
      <c r="G69">
        <v>0</v>
      </c>
      <c r="H69">
        <v>1</v>
      </c>
      <c r="I69">
        <v>0</v>
      </c>
      <c r="J69">
        <v>3983</v>
      </c>
      <c r="AO69">
        <v>45.039081928433731</v>
      </c>
      <c r="AP69">
        <v>0.56412919392455985</v>
      </c>
    </row>
    <row r="70" spans="1:42" x14ac:dyDescent="0.25">
      <c r="A70" t="s">
        <v>80</v>
      </c>
      <c r="B70">
        <v>133</v>
      </c>
      <c r="C70">
        <v>139</v>
      </c>
      <c r="D70">
        <v>1</v>
      </c>
      <c r="E70">
        <v>1E-3</v>
      </c>
      <c r="F70">
        <v>0.3</v>
      </c>
      <c r="G70">
        <v>0</v>
      </c>
      <c r="H70">
        <v>1</v>
      </c>
      <c r="I70">
        <v>0</v>
      </c>
      <c r="J70">
        <v>3983</v>
      </c>
      <c r="AO70">
        <v>-59.697293123040943</v>
      </c>
      <c r="AP70">
        <v>5.5916000909837349</v>
      </c>
    </row>
    <row r="71" spans="1:42" x14ac:dyDescent="0.25">
      <c r="A71" t="s">
        <v>81</v>
      </c>
      <c r="B71">
        <v>131</v>
      </c>
      <c r="C71">
        <v>139</v>
      </c>
      <c r="D71">
        <v>1</v>
      </c>
      <c r="E71">
        <v>1E-3</v>
      </c>
      <c r="F71">
        <v>0.1</v>
      </c>
      <c r="G71">
        <v>0</v>
      </c>
      <c r="H71">
        <v>1</v>
      </c>
      <c r="I71">
        <v>0</v>
      </c>
      <c r="J71">
        <v>3983</v>
      </c>
      <c r="AO71">
        <v>-104.25786173883176</v>
      </c>
      <c r="AP71">
        <v>6.4990941942357718</v>
      </c>
    </row>
    <row r="72" spans="1:42" x14ac:dyDescent="0.25">
      <c r="A72" t="s">
        <v>82</v>
      </c>
      <c r="B72">
        <v>174</v>
      </c>
      <c r="C72">
        <v>173</v>
      </c>
      <c r="D72">
        <v>1</v>
      </c>
      <c r="E72">
        <v>8.9999999999999998E-4</v>
      </c>
      <c r="F72">
        <v>0.107</v>
      </c>
      <c r="G72">
        <v>0</v>
      </c>
      <c r="H72">
        <v>1</v>
      </c>
      <c r="I72">
        <v>0</v>
      </c>
      <c r="J72">
        <v>1195</v>
      </c>
      <c r="AO72">
        <v>-32.150807808418627</v>
      </c>
      <c r="AP72">
        <v>6.5485958621172475</v>
      </c>
    </row>
    <row r="73" spans="1:42" x14ac:dyDescent="0.25">
      <c r="A73" t="s">
        <v>83</v>
      </c>
      <c r="B73">
        <v>182</v>
      </c>
      <c r="C73">
        <v>183</v>
      </c>
      <c r="D73">
        <v>1</v>
      </c>
      <c r="E73">
        <v>0</v>
      </c>
      <c r="F73">
        <v>1E-3</v>
      </c>
      <c r="G73">
        <v>0</v>
      </c>
      <c r="H73">
        <v>1</v>
      </c>
      <c r="I73">
        <v>0</v>
      </c>
      <c r="J73">
        <v>1195</v>
      </c>
      <c r="AO73">
        <v>64.946874330371145</v>
      </c>
      <c r="AP73">
        <v>-5.8798147768657225</v>
      </c>
    </row>
    <row r="74" spans="1:42" x14ac:dyDescent="0.25">
      <c r="A74" t="s">
        <v>84</v>
      </c>
      <c r="B74">
        <v>223</v>
      </c>
      <c r="C74">
        <v>224</v>
      </c>
      <c r="D74">
        <v>1</v>
      </c>
      <c r="E74">
        <v>2.0000000000000001E-4</v>
      </c>
      <c r="F74">
        <v>0.1024</v>
      </c>
      <c r="G74">
        <v>0</v>
      </c>
      <c r="H74">
        <v>1</v>
      </c>
      <c r="I74">
        <v>0</v>
      </c>
      <c r="J74">
        <v>1195</v>
      </c>
      <c r="AO74">
        <v>49.161676505086113</v>
      </c>
      <c r="AP74">
        <v>-3.1321682947590643</v>
      </c>
    </row>
    <row r="75" spans="1:42" x14ac:dyDescent="0.25">
      <c r="A75" t="s">
        <v>85</v>
      </c>
      <c r="B75">
        <v>241</v>
      </c>
      <c r="C75">
        <v>242</v>
      </c>
      <c r="D75">
        <v>1</v>
      </c>
      <c r="E75">
        <v>2.9999999999999997E-4</v>
      </c>
      <c r="F75">
        <v>0.10440000000000001</v>
      </c>
      <c r="G75">
        <v>0</v>
      </c>
      <c r="H75">
        <v>1</v>
      </c>
      <c r="I75">
        <v>0</v>
      </c>
      <c r="J75">
        <v>2389</v>
      </c>
      <c r="AO75">
        <v>151.14193598349911</v>
      </c>
      <c r="AP75">
        <v>-8.6502954334704754</v>
      </c>
    </row>
    <row r="76" spans="1:42" x14ac:dyDescent="0.25">
      <c r="A76" t="s">
        <v>86</v>
      </c>
      <c r="B76">
        <v>264</v>
      </c>
      <c r="C76">
        <v>262</v>
      </c>
      <c r="D76">
        <v>1</v>
      </c>
      <c r="E76">
        <v>4.0000000000000002E-4</v>
      </c>
      <c r="F76">
        <v>0.2</v>
      </c>
      <c r="G76">
        <v>0</v>
      </c>
      <c r="H76">
        <v>1</v>
      </c>
      <c r="I76">
        <v>0</v>
      </c>
      <c r="J76">
        <v>99</v>
      </c>
      <c r="AO76">
        <v>12.403104933545141</v>
      </c>
      <c r="AP76">
        <v>14.81150010612444</v>
      </c>
    </row>
    <row r="77" spans="1:42" x14ac:dyDescent="0.25">
      <c r="A77" t="s">
        <v>87</v>
      </c>
      <c r="B77">
        <v>272</v>
      </c>
      <c r="C77">
        <v>273</v>
      </c>
      <c r="D77">
        <v>1</v>
      </c>
      <c r="E77">
        <v>5.0000000000000001E-4</v>
      </c>
      <c r="F77">
        <v>3.5999999999999997E-2</v>
      </c>
      <c r="G77">
        <v>0</v>
      </c>
      <c r="H77">
        <v>1</v>
      </c>
      <c r="I77">
        <v>0</v>
      </c>
      <c r="J77">
        <v>571</v>
      </c>
      <c r="AO77">
        <v>3.5876738109830755</v>
      </c>
      <c r="AP77">
        <v>0.36439197087089614</v>
      </c>
    </row>
    <row r="78" spans="1:42" x14ac:dyDescent="0.25">
      <c r="A78" t="s">
        <v>88</v>
      </c>
      <c r="B78">
        <v>282</v>
      </c>
      <c r="C78">
        <v>281</v>
      </c>
      <c r="D78">
        <v>1</v>
      </c>
      <c r="E78">
        <v>5.9999999999999995E-4</v>
      </c>
      <c r="F78">
        <v>9.8400000000000001E-2</v>
      </c>
      <c r="G78">
        <v>0</v>
      </c>
      <c r="H78">
        <v>1</v>
      </c>
      <c r="I78">
        <v>0</v>
      </c>
      <c r="J78">
        <v>2389</v>
      </c>
      <c r="AO78">
        <v>-56.949872945641211</v>
      </c>
      <c r="AP78">
        <v>0.54605629956768154</v>
      </c>
    </row>
    <row r="79" spans="1:42" x14ac:dyDescent="0.25">
      <c r="A79" t="s">
        <v>89</v>
      </c>
      <c r="B79">
        <v>282</v>
      </c>
      <c r="C79">
        <v>283</v>
      </c>
      <c r="D79">
        <v>1</v>
      </c>
      <c r="E79">
        <v>8.0000000000000004E-4</v>
      </c>
      <c r="F79">
        <v>0.1032</v>
      </c>
      <c r="G79">
        <v>0</v>
      </c>
      <c r="H79">
        <v>1</v>
      </c>
      <c r="I79">
        <v>0</v>
      </c>
      <c r="J79">
        <v>2389</v>
      </c>
      <c r="AO79">
        <v>29.675937260922087</v>
      </c>
      <c r="AP79">
        <v>-3.2750973310281357</v>
      </c>
    </row>
    <row r="80" spans="1:42" x14ac:dyDescent="0.25">
      <c r="A80" t="s">
        <v>90</v>
      </c>
      <c r="B80">
        <v>291</v>
      </c>
      <c r="C80">
        <v>292</v>
      </c>
      <c r="D80">
        <v>1</v>
      </c>
      <c r="E80">
        <v>2.0000000000000001E-4</v>
      </c>
      <c r="F80">
        <v>9.5399999999999999E-2</v>
      </c>
      <c r="G80">
        <v>0</v>
      </c>
      <c r="H80">
        <v>1</v>
      </c>
      <c r="I80">
        <v>0</v>
      </c>
      <c r="J80">
        <v>2389</v>
      </c>
      <c r="AO80">
        <v>0</v>
      </c>
      <c r="AP80">
        <v>0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Z25"/>
  <sheetViews>
    <sheetView workbookViewId="0">
      <selection activeCell="N54" sqref="N54"/>
    </sheetView>
  </sheetViews>
  <sheetFormatPr defaultRowHeight="13.2" x14ac:dyDescent="0.25"/>
  <cols>
    <col min="4" max="4" width="15.109375" customWidth="1"/>
    <col min="13" max="13" width="19" customWidth="1"/>
    <col min="14" max="14" width="19.88671875" customWidth="1"/>
    <col min="15" max="15" width="18.6640625" customWidth="1"/>
    <col min="16" max="16" width="10.88671875" customWidth="1"/>
  </cols>
  <sheetData>
    <row r="1" spans="1:52" x14ac:dyDescent="0.25">
      <c r="A1" s="1" t="s">
        <v>3</v>
      </c>
      <c r="B1" s="1" t="s">
        <v>4</v>
      </c>
      <c r="C1" s="1" t="s">
        <v>5</v>
      </c>
      <c r="D1" s="1" t="s">
        <v>91</v>
      </c>
      <c r="E1" s="1" t="s">
        <v>9</v>
      </c>
      <c r="F1" t="s">
        <v>10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11</v>
      </c>
      <c r="S1" t="s">
        <v>103</v>
      </c>
      <c r="T1" t="s">
        <v>104</v>
      </c>
      <c r="U1" t="s">
        <v>105</v>
      </c>
      <c r="V1" t="s">
        <v>106</v>
      </c>
      <c r="W1" t="s">
        <v>107</v>
      </c>
      <c r="X1" t="s">
        <v>108</v>
      </c>
      <c r="Y1" t="s">
        <v>109</v>
      </c>
      <c r="Z1" t="s">
        <v>110</v>
      </c>
      <c r="AA1" t="s">
        <v>111</v>
      </c>
      <c r="AB1" t="s">
        <v>112</v>
      </c>
      <c r="AC1" t="s">
        <v>113</v>
      </c>
      <c r="AD1" t="s">
        <v>114</v>
      </c>
      <c r="AE1" t="s">
        <v>115</v>
      </c>
      <c r="AF1" t="s">
        <v>116</v>
      </c>
      <c r="AG1" t="s">
        <v>117</v>
      </c>
      <c r="AH1" t="s">
        <v>118</v>
      </c>
      <c r="AI1" t="s">
        <v>119</v>
      </c>
      <c r="AJ1" t="s">
        <v>120</v>
      </c>
      <c r="AK1" t="s">
        <v>121</v>
      </c>
      <c r="AL1" t="s">
        <v>122</v>
      </c>
      <c r="AM1" t="s">
        <v>123</v>
      </c>
      <c r="AN1" t="s">
        <v>124</v>
      </c>
      <c r="AO1" t="s">
        <v>125</v>
      </c>
      <c r="AP1" t="s">
        <v>126</v>
      </c>
      <c r="AQ1" t="s">
        <v>127</v>
      </c>
      <c r="AR1" t="s">
        <v>128</v>
      </c>
      <c r="AS1" t="s">
        <v>129</v>
      </c>
      <c r="AT1" t="s">
        <v>130</v>
      </c>
      <c r="AU1" t="s">
        <v>131</v>
      </c>
      <c r="AV1" t="s">
        <v>132</v>
      </c>
      <c r="AW1" t="s">
        <v>133</v>
      </c>
      <c r="AX1" t="s">
        <v>134</v>
      </c>
      <c r="AY1" t="s">
        <v>135</v>
      </c>
      <c r="AZ1" t="s">
        <v>136</v>
      </c>
    </row>
    <row r="2" spans="1:52" x14ac:dyDescent="0.25">
      <c r="A2">
        <v>41</v>
      </c>
      <c r="B2">
        <v>43</v>
      </c>
      <c r="C2">
        <v>1</v>
      </c>
      <c r="D2" t="s">
        <v>137</v>
      </c>
      <c r="E2">
        <v>1</v>
      </c>
      <c r="F2">
        <v>1</v>
      </c>
      <c r="G2">
        <v>1</v>
      </c>
      <c r="H2">
        <v>0</v>
      </c>
      <c r="I2">
        <v>0</v>
      </c>
      <c r="J2">
        <v>1</v>
      </c>
      <c r="K2" t="s">
        <v>138</v>
      </c>
      <c r="L2">
        <v>1</v>
      </c>
      <c r="M2" t="s">
        <v>139</v>
      </c>
      <c r="N2" t="s">
        <v>140</v>
      </c>
      <c r="O2" t="s">
        <v>141</v>
      </c>
      <c r="P2">
        <v>0</v>
      </c>
      <c r="Q2">
        <v>0.01</v>
      </c>
      <c r="R2">
        <v>120</v>
      </c>
      <c r="W2">
        <v>1</v>
      </c>
      <c r="X2">
        <v>1</v>
      </c>
      <c r="Y2">
        <v>0</v>
      </c>
      <c r="Z2">
        <v>1</v>
      </c>
      <c r="AA2">
        <v>0</v>
      </c>
      <c r="AB2">
        <v>1</v>
      </c>
      <c r="AC2">
        <v>0</v>
      </c>
      <c r="AD2">
        <v>1</v>
      </c>
      <c r="AE2">
        <v>100</v>
      </c>
      <c r="AF2">
        <v>1</v>
      </c>
      <c r="AG2">
        <v>0</v>
      </c>
      <c r="AH2">
        <v>30</v>
      </c>
      <c r="AI2">
        <v>1</v>
      </c>
      <c r="AJ2">
        <v>0</v>
      </c>
      <c r="AK2">
        <v>1.5</v>
      </c>
      <c r="AL2">
        <v>0.51</v>
      </c>
      <c r="AM2">
        <v>1.5</v>
      </c>
      <c r="AN2">
        <v>0.51</v>
      </c>
    </row>
    <row r="3" spans="1:52" x14ac:dyDescent="0.25">
      <c r="A3">
        <v>91</v>
      </c>
      <c r="B3">
        <v>93</v>
      </c>
      <c r="C3">
        <v>1</v>
      </c>
      <c r="D3" t="s">
        <v>142</v>
      </c>
      <c r="E3">
        <v>1</v>
      </c>
      <c r="F3">
        <v>1</v>
      </c>
      <c r="G3">
        <v>1</v>
      </c>
      <c r="H3">
        <v>0</v>
      </c>
      <c r="I3">
        <v>0</v>
      </c>
      <c r="J3">
        <v>1</v>
      </c>
      <c r="K3" t="s">
        <v>138</v>
      </c>
      <c r="L3">
        <v>1</v>
      </c>
      <c r="M3" t="s">
        <v>139</v>
      </c>
      <c r="N3" t="s">
        <v>140</v>
      </c>
      <c r="O3" t="s">
        <v>141</v>
      </c>
      <c r="P3">
        <v>0</v>
      </c>
      <c r="Q3">
        <v>0.01</v>
      </c>
      <c r="R3">
        <v>552</v>
      </c>
      <c r="W3">
        <v>1</v>
      </c>
      <c r="X3">
        <v>1</v>
      </c>
      <c r="Y3">
        <v>0</v>
      </c>
      <c r="Z3">
        <v>1</v>
      </c>
      <c r="AA3">
        <v>0</v>
      </c>
      <c r="AB3">
        <v>1</v>
      </c>
      <c r="AC3">
        <v>0</v>
      </c>
      <c r="AD3">
        <v>1</v>
      </c>
      <c r="AE3">
        <v>100</v>
      </c>
      <c r="AF3">
        <v>1</v>
      </c>
      <c r="AG3">
        <v>0</v>
      </c>
      <c r="AH3">
        <v>30</v>
      </c>
      <c r="AI3">
        <v>1</v>
      </c>
      <c r="AJ3">
        <v>0</v>
      </c>
      <c r="AK3">
        <v>1.5</v>
      </c>
      <c r="AL3">
        <v>0.51</v>
      </c>
      <c r="AM3">
        <v>1.5</v>
      </c>
      <c r="AN3">
        <v>0.51</v>
      </c>
    </row>
    <row r="4" spans="1:52" x14ac:dyDescent="0.25">
      <c r="A4">
        <v>91</v>
      </c>
      <c r="B4">
        <v>94</v>
      </c>
      <c r="C4">
        <v>2</v>
      </c>
      <c r="D4" t="s">
        <v>143</v>
      </c>
      <c r="E4">
        <v>1</v>
      </c>
      <c r="F4">
        <v>1</v>
      </c>
      <c r="G4">
        <v>1</v>
      </c>
      <c r="H4">
        <v>0</v>
      </c>
      <c r="I4">
        <v>0</v>
      </c>
      <c r="J4">
        <v>1</v>
      </c>
      <c r="K4" t="s">
        <v>138</v>
      </c>
      <c r="L4">
        <v>1</v>
      </c>
      <c r="M4" t="s">
        <v>139</v>
      </c>
      <c r="N4" t="s">
        <v>140</v>
      </c>
      <c r="O4" t="s">
        <v>141</v>
      </c>
      <c r="P4">
        <v>0</v>
      </c>
      <c r="Q4">
        <v>0.01</v>
      </c>
      <c r="R4">
        <v>552</v>
      </c>
      <c r="W4">
        <v>1</v>
      </c>
      <c r="X4">
        <v>1</v>
      </c>
      <c r="Y4">
        <v>0</v>
      </c>
      <c r="Z4">
        <v>1</v>
      </c>
      <c r="AA4">
        <v>0</v>
      </c>
      <c r="AB4">
        <v>1</v>
      </c>
      <c r="AC4">
        <v>0</v>
      </c>
      <c r="AD4">
        <v>1</v>
      </c>
      <c r="AE4">
        <v>100</v>
      </c>
      <c r="AF4">
        <v>1</v>
      </c>
      <c r="AG4">
        <v>0</v>
      </c>
      <c r="AH4">
        <v>30</v>
      </c>
      <c r="AI4">
        <v>1</v>
      </c>
      <c r="AJ4">
        <v>0</v>
      </c>
      <c r="AK4">
        <v>1.5</v>
      </c>
      <c r="AL4">
        <v>0.51</v>
      </c>
      <c r="AM4">
        <v>1.5</v>
      </c>
      <c r="AN4">
        <v>0.51</v>
      </c>
    </row>
    <row r="5" spans="1:52" x14ac:dyDescent="0.25">
      <c r="A5">
        <v>191</v>
      </c>
      <c r="B5">
        <v>193</v>
      </c>
      <c r="C5">
        <v>1</v>
      </c>
      <c r="D5" t="s">
        <v>144</v>
      </c>
      <c r="E5">
        <v>1</v>
      </c>
      <c r="F5">
        <v>1</v>
      </c>
      <c r="G5">
        <v>1</v>
      </c>
      <c r="H5">
        <v>0</v>
      </c>
      <c r="I5">
        <v>0</v>
      </c>
      <c r="J5">
        <v>1</v>
      </c>
      <c r="K5" t="s">
        <v>138</v>
      </c>
      <c r="L5">
        <v>1</v>
      </c>
      <c r="M5" t="s">
        <v>139</v>
      </c>
      <c r="N5" t="s">
        <v>140</v>
      </c>
      <c r="O5" t="s">
        <v>141</v>
      </c>
      <c r="P5">
        <v>0</v>
      </c>
      <c r="Q5">
        <v>0.01</v>
      </c>
      <c r="R5">
        <v>1300</v>
      </c>
      <c r="W5">
        <v>1</v>
      </c>
      <c r="X5">
        <v>1</v>
      </c>
      <c r="Y5">
        <v>0</v>
      </c>
      <c r="Z5">
        <v>1</v>
      </c>
      <c r="AA5">
        <v>0</v>
      </c>
      <c r="AB5">
        <v>1</v>
      </c>
      <c r="AC5">
        <v>0</v>
      </c>
      <c r="AD5">
        <v>1</v>
      </c>
      <c r="AE5">
        <v>100</v>
      </c>
      <c r="AF5">
        <v>1</v>
      </c>
      <c r="AG5">
        <v>0</v>
      </c>
      <c r="AH5">
        <v>30</v>
      </c>
      <c r="AI5">
        <v>1</v>
      </c>
      <c r="AJ5">
        <v>0</v>
      </c>
      <c r="AK5">
        <v>1.5</v>
      </c>
      <c r="AL5">
        <v>0.51</v>
      </c>
      <c r="AM5">
        <v>1.5</v>
      </c>
      <c r="AN5">
        <v>0.51</v>
      </c>
    </row>
    <row r="6" spans="1:52" x14ac:dyDescent="0.25">
      <c r="A6">
        <v>21</v>
      </c>
      <c r="B6">
        <v>23</v>
      </c>
      <c r="C6">
        <v>1</v>
      </c>
      <c r="D6" t="s">
        <v>145</v>
      </c>
      <c r="E6">
        <v>1</v>
      </c>
      <c r="F6">
        <v>1</v>
      </c>
      <c r="G6">
        <v>1</v>
      </c>
      <c r="H6">
        <v>0</v>
      </c>
      <c r="I6">
        <v>0</v>
      </c>
      <c r="J6">
        <v>1</v>
      </c>
      <c r="K6" t="s">
        <v>138</v>
      </c>
      <c r="L6">
        <v>1</v>
      </c>
      <c r="M6" t="s">
        <v>139</v>
      </c>
      <c r="N6" t="s">
        <v>140</v>
      </c>
      <c r="O6" t="s">
        <v>141</v>
      </c>
      <c r="P6">
        <v>0</v>
      </c>
      <c r="Q6">
        <v>0.01</v>
      </c>
      <c r="R6">
        <v>552</v>
      </c>
      <c r="W6">
        <v>1</v>
      </c>
      <c r="X6">
        <v>1</v>
      </c>
      <c r="Y6">
        <v>0</v>
      </c>
      <c r="Z6">
        <v>1</v>
      </c>
      <c r="AA6">
        <v>0</v>
      </c>
      <c r="AB6">
        <v>1</v>
      </c>
      <c r="AC6">
        <v>0</v>
      </c>
      <c r="AD6">
        <v>1</v>
      </c>
      <c r="AE6">
        <v>100</v>
      </c>
      <c r="AF6">
        <v>1</v>
      </c>
      <c r="AG6">
        <v>0</v>
      </c>
      <c r="AH6">
        <v>30</v>
      </c>
      <c r="AI6">
        <v>1</v>
      </c>
      <c r="AJ6">
        <v>0</v>
      </c>
      <c r="AK6">
        <v>1.5</v>
      </c>
      <c r="AL6">
        <v>0.51</v>
      </c>
      <c r="AM6">
        <v>1.5</v>
      </c>
      <c r="AN6">
        <v>0.51</v>
      </c>
    </row>
    <row r="7" spans="1:52" x14ac:dyDescent="0.25">
      <c r="A7">
        <v>161</v>
      </c>
      <c r="B7">
        <v>163</v>
      </c>
      <c r="C7">
        <v>1</v>
      </c>
      <c r="D7" t="s">
        <v>146</v>
      </c>
      <c r="E7">
        <v>1</v>
      </c>
      <c r="F7">
        <v>1</v>
      </c>
      <c r="G7">
        <v>1</v>
      </c>
      <c r="H7">
        <v>0</v>
      </c>
      <c r="I7">
        <v>0</v>
      </c>
      <c r="J7">
        <v>1</v>
      </c>
      <c r="K7" t="s">
        <v>138</v>
      </c>
      <c r="L7">
        <v>1</v>
      </c>
      <c r="M7" t="s">
        <v>139</v>
      </c>
      <c r="N7" t="s">
        <v>140</v>
      </c>
      <c r="O7" t="s">
        <v>141</v>
      </c>
      <c r="P7">
        <v>0</v>
      </c>
      <c r="Q7">
        <v>0.12</v>
      </c>
      <c r="R7">
        <v>250</v>
      </c>
      <c r="W7">
        <v>1</v>
      </c>
      <c r="X7">
        <v>1</v>
      </c>
      <c r="Y7">
        <v>0</v>
      </c>
      <c r="Z7">
        <v>1</v>
      </c>
      <c r="AA7">
        <v>0</v>
      </c>
      <c r="AB7">
        <v>1</v>
      </c>
      <c r="AC7">
        <v>0</v>
      </c>
      <c r="AD7">
        <v>1</v>
      </c>
      <c r="AE7">
        <v>100</v>
      </c>
      <c r="AF7">
        <v>1</v>
      </c>
      <c r="AG7">
        <v>0</v>
      </c>
      <c r="AH7">
        <v>30</v>
      </c>
      <c r="AI7">
        <v>1</v>
      </c>
      <c r="AJ7">
        <v>0</v>
      </c>
      <c r="AK7">
        <v>1.5</v>
      </c>
      <c r="AL7">
        <v>0.51</v>
      </c>
      <c r="AM7">
        <v>1.5</v>
      </c>
      <c r="AN7">
        <v>0.51</v>
      </c>
    </row>
    <row r="8" spans="1:52" x14ac:dyDescent="0.25">
      <c r="A8">
        <v>161</v>
      </c>
      <c r="B8">
        <v>164</v>
      </c>
      <c r="C8">
        <v>2</v>
      </c>
      <c r="D8" t="s">
        <v>147</v>
      </c>
      <c r="E8">
        <v>1</v>
      </c>
      <c r="F8">
        <v>1</v>
      </c>
      <c r="G8">
        <v>1</v>
      </c>
      <c r="H8">
        <v>0</v>
      </c>
      <c r="I8">
        <v>0</v>
      </c>
      <c r="J8">
        <v>1</v>
      </c>
      <c r="K8" t="s">
        <v>138</v>
      </c>
      <c r="L8">
        <v>1</v>
      </c>
      <c r="M8" t="s">
        <v>139</v>
      </c>
      <c r="N8" t="s">
        <v>140</v>
      </c>
      <c r="O8" t="s">
        <v>141</v>
      </c>
      <c r="P8">
        <v>0</v>
      </c>
      <c r="Q8">
        <v>0.01</v>
      </c>
      <c r="R8">
        <v>820</v>
      </c>
      <c r="W8">
        <v>1</v>
      </c>
      <c r="X8">
        <v>1</v>
      </c>
      <c r="Y8">
        <v>0</v>
      </c>
      <c r="Z8">
        <v>1</v>
      </c>
      <c r="AA8">
        <v>0</v>
      </c>
      <c r="AB8">
        <v>1</v>
      </c>
      <c r="AC8">
        <v>0</v>
      </c>
      <c r="AD8">
        <v>1</v>
      </c>
      <c r="AE8">
        <v>100</v>
      </c>
      <c r="AF8">
        <v>1</v>
      </c>
      <c r="AG8">
        <v>0</v>
      </c>
      <c r="AH8">
        <v>30</v>
      </c>
      <c r="AI8">
        <v>1</v>
      </c>
      <c r="AJ8">
        <v>0</v>
      </c>
      <c r="AK8">
        <v>1.5</v>
      </c>
      <c r="AL8">
        <v>0.51</v>
      </c>
      <c r="AM8">
        <v>1.5</v>
      </c>
      <c r="AN8">
        <v>0.51</v>
      </c>
    </row>
    <row r="9" spans="1:52" x14ac:dyDescent="0.25">
      <c r="A9">
        <v>111</v>
      </c>
      <c r="B9">
        <v>113</v>
      </c>
      <c r="C9">
        <v>1</v>
      </c>
      <c r="D9" t="s">
        <v>148</v>
      </c>
      <c r="E9">
        <v>1</v>
      </c>
      <c r="F9">
        <v>1</v>
      </c>
      <c r="G9">
        <v>1</v>
      </c>
      <c r="H9">
        <v>0</v>
      </c>
      <c r="I9">
        <v>0</v>
      </c>
      <c r="J9">
        <v>1</v>
      </c>
      <c r="K9" t="s">
        <v>138</v>
      </c>
      <c r="L9">
        <v>1</v>
      </c>
      <c r="M9" t="s">
        <v>139</v>
      </c>
      <c r="N9" t="s">
        <v>140</v>
      </c>
      <c r="O9" t="s">
        <v>141</v>
      </c>
      <c r="P9">
        <v>0</v>
      </c>
      <c r="Q9">
        <v>0.12</v>
      </c>
      <c r="R9">
        <v>500</v>
      </c>
      <c r="W9">
        <v>1</v>
      </c>
      <c r="X9">
        <v>1</v>
      </c>
      <c r="Y9">
        <v>0</v>
      </c>
      <c r="Z9">
        <v>1</v>
      </c>
      <c r="AA9">
        <v>0</v>
      </c>
      <c r="AB9">
        <v>1</v>
      </c>
      <c r="AC9">
        <v>0</v>
      </c>
      <c r="AD9">
        <v>1</v>
      </c>
      <c r="AE9">
        <v>100</v>
      </c>
      <c r="AF9">
        <v>1</v>
      </c>
      <c r="AG9">
        <v>0</v>
      </c>
      <c r="AH9">
        <v>30</v>
      </c>
      <c r="AI9">
        <v>1</v>
      </c>
      <c r="AJ9">
        <v>0</v>
      </c>
      <c r="AK9">
        <v>1.5</v>
      </c>
      <c r="AL9">
        <v>0.51</v>
      </c>
      <c r="AM9">
        <v>1.5</v>
      </c>
      <c r="AN9">
        <v>0.51</v>
      </c>
    </row>
    <row r="10" spans="1:52" x14ac:dyDescent="0.25">
      <c r="A10">
        <v>113</v>
      </c>
      <c r="B10">
        <v>114</v>
      </c>
      <c r="C10">
        <v>2</v>
      </c>
      <c r="D10" t="s">
        <v>149</v>
      </c>
      <c r="E10">
        <v>1</v>
      </c>
      <c r="F10">
        <v>1</v>
      </c>
      <c r="G10">
        <v>1</v>
      </c>
      <c r="H10">
        <v>0</v>
      </c>
      <c r="I10">
        <v>0</v>
      </c>
      <c r="J10">
        <v>1</v>
      </c>
      <c r="K10" t="s">
        <v>138</v>
      </c>
      <c r="L10">
        <v>1</v>
      </c>
      <c r="M10" t="s">
        <v>139</v>
      </c>
      <c r="N10" t="s">
        <v>140</v>
      </c>
      <c r="O10" t="s">
        <v>141</v>
      </c>
      <c r="P10">
        <v>0</v>
      </c>
      <c r="Q10">
        <v>0.01</v>
      </c>
      <c r="R10">
        <v>820</v>
      </c>
      <c r="W10">
        <v>1</v>
      </c>
      <c r="X10">
        <v>1</v>
      </c>
      <c r="Y10">
        <v>0</v>
      </c>
      <c r="Z10">
        <v>1</v>
      </c>
      <c r="AA10">
        <v>0</v>
      </c>
      <c r="AB10">
        <v>1</v>
      </c>
      <c r="AC10">
        <v>0</v>
      </c>
      <c r="AD10">
        <v>1</v>
      </c>
      <c r="AE10">
        <v>100</v>
      </c>
      <c r="AF10">
        <v>1</v>
      </c>
      <c r="AG10">
        <v>0</v>
      </c>
      <c r="AH10">
        <v>30</v>
      </c>
      <c r="AI10">
        <v>1</v>
      </c>
      <c r="AJ10">
        <v>0</v>
      </c>
      <c r="AK10">
        <v>1.5</v>
      </c>
      <c r="AL10">
        <v>0.51</v>
      </c>
      <c r="AM10">
        <v>1.5</v>
      </c>
      <c r="AN10">
        <v>0.51</v>
      </c>
    </row>
    <row r="11" spans="1:52" x14ac:dyDescent="0.25">
      <c r="A11">
        <v>141</v>
      </c>
      <c r="B11">
        <v>143</v>
      </c>
      <c r="C11">
        <v>1</v>
      </c>
      <c r="D11" t="s">
        <v>150</v>
      </c>
      <c r="E11">
        <v>1</v>
      </c>
      <c r="F11">
        <v>1</v>
      </c>
      <c r="G11">
        <v>1</v>
      </c>
      <c r="H11">
        <v>0</v>
      </c>
      <c r="I11">
        <v>0</v>
      </c>
      <c r="J11">
        <v>1</v>
      </c>
      <c r="K11" t="s">
        <v>138</v>
      </c>
      <c r="L11">
        <v>1</v>
      </c>
      <c r="M11" t="s">
        <v>139</v>
      </c>
      <c r="N11" t="s">
        <v>140</v>
      </c>
      <c r="O11" t="s">
        <v>141</v>
      </c>
      <c r="P11">
        <v>0</v>
      </c>
      <c r="Q11">
        <v>0.06</v>
      </c>
      <c r="R11">
        <v>350</v>
      </c>
      <c r="W11">
        <v>1</v>
      </c>
      <c r="X11">
        <v>1</v>
      </c>
      <c r="Y11">
        <v>0</v>
      </c>
      <c r="Z11">
        <v>1</v>
      </c>
      <c r="AA11">
        <v>0</v>
      </c>
      <c r="AB11">
        <v>1</v>
      </c>
      <c r="AC11">
        <v>0</v>
      </c>
      <c r="AD11">
        <v>1</v>
      </c>
      <c r="AE11">
        <v>100</v>
      </c>
      <c r="AF11">
        <v>1</v>
      </c>
      <c r="AG11">
        <v>0</v>
      </c>
      <c r="AH11">
        <v>30</v>
      </c>
      <c r="AI11">
        <v>1</v>
      </c>
      <c r="AJ11">
        <v>0</v>
      </c>
      <c r="AK11">
        <v>1.5</v>
      </c>
      <c r="AL11">
        <v>0.51</v>
      </c>
      <c r="AM11">
        <v>1.5</v>
      </c>
      <c r="AN11">
        <v>0.51</v>
      </c>
    </row>
    <row r="12" spans="1:52" x14ac:dyDescent="0.25">
      <c r="A12">
        <v>141</v>
      </c>
      <c r="B12">
        <v>145</v>
      </c>
      <c r="C12">
        <v>2</v>
      </c>
      <c r="D12" t="s">
        <v>151</v>
      </c>
      <c r="E12">
        <v>1</v>
      </c>
      <c r="F12">
        <v>1</v>
      </c>
      <c r="G12">
        <v>1</v>
      </c>
      <c r="H12">
        <v>0</v>
      </c>
      <c r="I12">
        <v>0</v>
      </c>
      <c r="J12">
        <v>1</v>
      </c>
      <c r="K12" t="s">
        <v>138</v>
      </c>
      <c r="L12">
        <v>1</v>
      </c>
      <c r="M12" t="s">
        <v>139</v>
      </c>
      <c r="N12" t="s">
        <v>140</v>
      </c>
      <c r="O12" t="s">
        <v>141</v>
      </c>
      <c r="P12">
        <v>0</v>
      </c>
      <c r="Q12">
        <v>0.01</v>
      </c>
      <c r="R12">
        <v>1626</v>
      </c>
      <c r="W12">
        <v>1</v>
      </c>
      <c r="X12">
        <v>1</v>
      </c>
      <c r="Y12">
        <v>0</v>
      </c>
      <c r="Z12">
        <v>1</v>
      </c>
      <c r="AA12">
        <v>0</v>
      </c>
      <c r="AB12">
        <v>1</v>
      </c>
      <c r="AC12">
        <v>0</v>
      </c>
      <c r="AD12">
        <v>1</v>
      </c>
      <c r="AE12">
        <v>100</v>
      </c>
      <c r="AF12">
        <v>1</v>
      </c>
      <c r="AG12">
        <v>0</v>
      </c>
      <c r="AH12">
        <v>30</v>
      </c>
      <c r="AI12">
        <v>1</v>
      </c>
      <c r="AJ12">
        <v>0</v>
      </c>
      <c r="AK12">
        <v>1.5</v>
      </c>
      <c r="AL12">
        <v>0.51</v>
      </c>
      <c r="AM12">
        <v>1.5</v>
      </c>
      <c r="AN12">
        <v>0.51</v>
      </c>
    </row>
    <row r="13" spans="1:52" x14ac:dyDescent="0.25">
      <c r="A13">
        <v>171</v>
      </c>
      <c r="B13">
        <v>173</v>
      </c>
      <c r="C13">
        <v>1</v>
      </c>
      <c r="D13" t="s">
        <v>152</v>
      </c>
      <c r="E13">
        <v>1</v>
      </c>
      <c r="F13">
        <v>1</v>
      </c>
      <c r="G13">
        <v>1</v>
      </c>
      <c r="H13">
        <v>0</v>
      </c>
      <c r="I13">
        <v>0</v>
      </c>
      <c r="J13">
        <v>1</v>
      </c>
      <c r="K13" t="s">
        <v>138</v>
      </c>
      <c r="L13">
        <v>1</v>
      </c>
      <c r="M13" t="s">
        <v>139</v>
      </c>
      <c r="N13" t="s">
        <v>140</v>
      </c>
      <c r="O13" t="s">
        <v>141</v>
      </c>
      <c r="P13">
        <v>0</v>
      </c>
      <c r="Q13">
        <v>7.0000000000000007E-2</v>
      </c>
      <c r="R13">
        <v>320</v>
      </c>
      <c r="W13">
        <v>1</v>
      </c>
      <c r="X13">
        <v>1</v>
      </c>
      <c r="Y13">
        <v>0</v>
      </c>
      <c r="Z13">
        <v>1</v>
      </c>
      <c r="AA13">
        <v>0</v>
      </c>
      <c r="AB13">
        <v>1</v>
      </c>
      <c r="AC13">
        <v>0</v>
      </c>
      <c r="AD13">
        <v>1</v>
      </c>
      <c r="AE13">
        <v>100</v>
      </c>
      <c r="AF13">
        <v>1</v>
      </c>
      <c r="AG13">
        <v>0</v>
      </c>
      <c r="AH13">
        <v>30</v>
      </c>
      <c r="AI13">
        <v>1</v>
      </c>
      <c r="AJ13">
        <v>0</v>
      </c>
      <c r="AK13">
        <v>1.5</v>
      </c>
      <c r="AL13">
        <v>0.51</v>
      </c>
      <c r="AM13">
        <v>1.5</v>
      </c>
      <c r="AN13">
        <v>0.51</v>
      </c>
    </row>
    <row r="14" spans="1:52" x14ac:dyDescent="0.25">
      <c r="A14">
        <v>181</v>
      </c>
      <c r="B14">
        <v>182</v>
      </c>
      <c r="C14">
        <v>1</v>
      </c>
      <c r="D14" t="s">
        <v>153</v>
      </c>
      <c r="E14">
        <v>1</v>
      </c>
      <c r="F14">
        <v>1</v>
      </c>
      <c r="G14">
        <v>1</v>
      </c>
      <c r="H14">
        <v>0</v>
      </c>
      <c r="I14">
        <v>0</v>
      </c>
      <c r="J14">
        <v>1</v>
      </c>
      <c r="K14" t="s">
        <v>138</v>
      </c>
      <c r="L14">
        <v>1</v>
      </c>
      <c r="M14" t="s">
        <v>139</v>
      </c>
      <c r="N14" t="s">
        <v>140</v>
      </c>
      <c r="O14" t="s">
        <v>141</v>
      </c>
      <c r="P14">
        <v>0</v>
      </c>
      <c r="Q14">
        <v>0.1</v>
      </c>
      <c r="R14">
        <v>250</v>
      </c>
      <c r="W14">
        <v>1</v>
      </c>
      <c r="X14">
        <v>1</v>
      </c>
      <c r="Y14">
        <v>0</v>
      </c>
      <c r="Z14">
        <v>1</v>
      </c>
      <c r="AA14">
        <v>0</v>
      </c>
      <c r="AB14">
        <v>1</v>
      </c>
      <c r="AC14">
        <v>0</v>
      </c>
      <c r="AD14">
        <v>1</v>
      </c>
      <c r="AE14">
        <v>100</v>
      </c>
      <c r="AF14">
        <v>1</v>
      </c>
      <c r="AG14">
        <v>0</v>
      </c>
      <c r="AH14">
        <v>30</v>
      </c>
      <c r="AI14">
        <v>1</v>
      </c>
      <c r="AJ14">
        <v>0</v>
      </c>
      <c r="AK14">
        <v>1.5</v>
      </c>
      <c r="AL14">
        <v>0.51</v>
      </c>
      <c r="AM14">
        <v>1.5</v>
      </c>
      <c r="AN14">
        <v>0.51</v>
      </c>
    </row>
    <row r="15" spans="1:52" x14ac:dyDescent="0.25">
      <c r="A15">
        <v>201</v>
      </c>
      <c r="B15">
        <v>203</v>
      </c>
      <c r="C15">
        <v>1</v>
      </c>
      <c r="D15" t="s">
        <v>154</v>
      </c>
      <c r="E15">
        <v>1</v>
      </c>
      <c r="F15">
        <v>1</v>
      </c>
      <c r="G15">
        <v>1</v>
      </c>
      <c r="H15">
        <v>0</v>
      </c>
      <c r="I15">
        <v>0</v>
      </c>
      <c r="J15">
        <v>1</v>
      </c>
      <c r="K15" t="s">
        <v>138</v>
      </c>
      <c r="L15">
        <v>1</v>
      </c>
      <c r="M15" t="s">
        <v>139</v>
      </c>
      <c r="N15" t="s">
        <v>140</v>
      </c>
      <c r="O15" t="s">
        <v>141</v>
      </c>
      <c r="P15">
        <v>0</v>
      </c>
      <c r="Q15">
        <v>0.19</v>
      </c>
      <c r="R15">
        <v>320</v>
      </c>
      <c r="W15">
        <v>1</v>
      </c>
      <c r="X15">
        <v>1</v>
      </c>
      <c r="Y15">
        <v>0</v>
      </c>
      <c r="Z15">
        <v>1</v>
      </c>
      <c r="AA15">
        <v>0</v>
      </c>
      <c r="AB15">
        <v>1</v>
      </c>
      <c r="AC15">
        <v>0</v>
      </c>
      <c r="AD15">
        <v>1</v>
      </c>
      <c r="AE15">
        <v>100</v>
      </c>
      <c r="AF15">
        <v>1</v>
      </c>
      <c r="AG15">
        <v>0</v>
      </c>
      <c r="AH15">
        <v>30</v>
      </c>
      <c r="AI15">
        <v>1</v>
      </c>
      <c r="AJ15">
        <v>0</v>
      </c>
      <c r="AK15">
        <v>1.5</v>
      </c>
      <c r="AL15">
        <v>0.51</v>
      </c>
      <c r="AM15">
        <v>1.5</v>
      </c>
      <c r="AN15">
        <v>0.51</v>
      </c>
    </row>
    <row r="16" spans="1:52" x14ac:dyDescent="0.25">
      <c r="A16">
        <v>221</v>
      </c>
      <c r="B16">
        <v>223</v>
      </c>
      <c r="C16">
        <v>1</v>
      </c>
      <c r="D16" t="s">
        <v>155</v>
      </c>
      <c r="E16">
        <v>1</v>
      </c>
      <c r="F16">
        <v>1</v>
      </c>
      <c r="G16">
        <v>1</v>
      </c>
      <c r="H16">
        <v>0</v>
      </c>
      <c r="I16">
        <v>0</v>
      </c>
      <c r="J16">
        <v>1</v>
      </c>
      <c r="K16" t="s">
        <v>138</v>
      </c>
      <c r="L16">
        <v>1</v>
      </c>
      <c r="M16" t="s">
        <v>139</v>
      </c>
      <c r="N16" t="s">
        <v>140</v>
      </c>
      <c r="O16" t="s">
        <v>141</v>
      </c>
      <c r="P16">
        <v>0</v>
      </c>
      <c r="Q16">
        <v>0.1</v>
      </c>
      <c r="R16">
        <v>320</v>
      </c>
      <c r="W16">
        <v>1</v>
      </c>
      <c r="X16">
        <v>1</v>
      </c>
      <c r="Y16">
        <v>0</v>
      </c>
      <c r="Z16">
        <v>1</v>
      </c>
      <c r="AA16">
        <v>0</v>
      </c>
      <c r="AB16">
        <v>1</v>
      </c>
      <c r="AC16">
        <v>0</v>
      </c>
      <c r="AD16">
        <v>1</v>
      </c>
      <c r="AE16">
        <v>100</v>
      </c>
      <c r="AF16">
        <v>1</v>
      </c>
      <c r="AG16">
        <v>0</v>
      </c>
      <c r="AH16">
        <v>30</v>
      </c>
      <c r="AI16">
        <v>1</v>
      </c>
      <c r="AJ16">
        <v>0</v>
      </c>
      <c r="AK16">
        <v>1.5</v>
      </c>
      <c r="AL16">
        <v>0.51</v>
      </c>
      <c r="AM16">
        <v>1.5</v>
      </c>
      <c r="AN16">
        <v>0.51</v>
      </c>
    </row>
    <row r="17" spans="1:40" x14ac:dyDescent="0.25">
      <c r="A17">
        <v>233</v>
      </c>
      <c r="B17">
        <v>231</v>
      </c>
      <c r="C17">
        <v>1</v>
      </c>
      <c r="D17" t="s">
        <v>156</v>
      </c>
      <c r="E17">
        <v>1</v>
      </c>
      <c r="F17">
        <v>1</v>
      </c>
      <c r="G17">
        <v>1</v>
      </c>
      <c r="H17">
        <v>0</v>
      </c>
      <c r="I17">
        <v>0</v>
      </c>
      <c r="J17">
        <v>1</v>
      </c>
      <c r="K17" t="s">
        <v>138</v>
      </c>
      <c r="L17">
        <v>1</v>
      </c>
      <c r="M17" t="s">
        <v>139</v>
      </c>
      <c r="N17" t="s">
        <v>140</v>
      </c>
      <c r="O17" t="s">
        <v>141</v>
      </c>
      <c r="P17">
        <v>0</v>
      </c>
      <c r="Q17">
        <v>0.05</v>
      </c>
      <c r="R17">
        <v>100</v>
      </c>
      <c r="W17">
        <v>1</v>
      </c>
      <c r="X17">
        <v>1</v>
      </c>
      <c r="Y17">
        <v>0</v>
      </c>
      <c r="Z17">
        <v>1</v>
      </c>
      <c r="AA17">
        <v>0</v>
      </c>
      <c r="AB17">
        <v>1</v>
      </c>
      <c r="AC17">
        <v>0</v>
      </c>
      <c r="AD17">
        <v>1</v>
      </c>
      <c r="AE17">
        <v>100</v>
      </c>
      <c r="AF17">
        <v>1</v>
      </c>
      <c r="AG17">
        <v>0</v>
      </c>
      <c r="AH17">
        <v>30</v>
      </c>
      <c r="AI17">
        <v>1</v>
      </c>
      <c r="AJ17">
        <v>0</v>
      </c>
      <c r="AK17">
        <v>1.5</v>
      </c>
      <c r="AL17">
        <v>0.51</v>
      </c>
      <c r="AM17">
        <v>1.5</v>
      </c>
      <c r="AN17">
        <v>0.51</v>
      </c>
    </row>
    <row r="18" spans="1:40" x14ac:dyDescent="0.25">
      <c r="A18">
        <v>231</v>
      </c>
      <c r="B18">
        <v>232</v>
      </c>
      <c r="C18">
        <v>2</v>
      </c>
      <c r="D18" t="s">
        <v>157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 t="s">
        <v>138</v>
      </c>
      <c r="L18">
        <v>1</v>
      </c>
      <c r="M18" t="s">
        <v>139</v>
      </c>
      <c r="N18" t="s">
        <v>140</v>
      </c>
      <c r="O18" t="s">
        <v>141</v>
      </c>
      <c r="P18">
        <v>0</v>
      </c>
      <c r="Q18">
        <v>0.1</v>
      </c>
      <c r="R18">
        <v>100</v>
      </c>
      <c r="W18">
        <v>1</v>
      </c>
      <c r="X18">
        <v>1</v>
      </c>
      <c r="Y18">
        <v>0</v>
      </c>
      <c r="Z18">
        <v>1</v>
      </c>
      <c r="AA18">
        <v>0</v>
      </c>
      <c r="AB18">
        <v>1</v>
      </c>
      <c r="AC18">
        <v>0</v>
      </c>
      <c r="AD18">
        <v>1</v>
      </c>
      <c r="AE18">
        <v>100</v>
      </c>
      <c r="AF18">
        <v>1</v>
      </c>
      <c r="AG18">
        <v>0</v>
      </c>
      <c r="AH18">
        <v>30</v>
      </c>
      <c r="AI18">
        <v>1</v>
      </c>
      <c r="AJ18">
        <v>0</v>
      </c>
      <c r="AK18">
        <v>1.5</v>
      </c>
      <c r="AL18">
        <v>0.51</v>
      </c>
      <c r="AM18">
        <v>1.5</v>
      </c>
      <c r="AN18">
        <v>0.51</v>
      </c>
    </row>
    <row r="19" spans="1:40" x14ac:dyDescent="0.25">
      <c r="A19">
        <v>242</v>
      </c>
      <c r="B19">
        <v>243</v>
      </c>
      <c r="C19">
        <v>1</v>
      </c>
      <c r="D19" t="s">
        <v>158</v>
      </c>
      <c r="E19">
        <v>1</v>
      </c>
      <c r="F19">
        <v>1</v>
      </c>
      <c r="G19">
        <v>1</v>
      </c>
      <c r="H19">
        <v>0</v>
      </c>
      <c r="I19">
        <v>0</v>
      </c>
      <c r="J19">
        <v>1</v>
      </c>
      <c r="K19" t="s">
        <v>138</v>
      </c>
      <c r="L19">
        <v>1</v>
      </c>
      <c r="M19" t="s">
        <v>139</v>
      </c>
      <c r="N19" t="s">
        <v>140</v>
      </c>
      <c r="O19" t="s">
        <v>141</v>
      </c>
      <c r="P19">
        <v>0</v>
      </c>
      <c r="Q19">
        <v>0.1</v>
      </c>
      <c r="R19">
        <v>150</v>
      </c>
      <c r="W19">
        <v>1</v>
      </c>
      <c r="X19">
        <v>1</v>
      </c>
      <c r="Y19">
        <v>0</v>
      </c>
      <c r="Z19">
        <v>1</v>
      </c>
      <c r="AA19">
        <v>0</v>
      </c>
      <c r="AB19">
        <v>1</v>
      </c>
      <c r="AC19">
        <v>0</v>
      </c>
      <c r="AD19">
        <v>1</v>
      </c>
      <c r="AE19">
        <v>100</v>
      </c>
      <c r="AF19">
        <v>1</v>
      </c>
      <c r="AG19">
        <v>0</v>
      </c>
      <c r="AH19">
        <v>30</v>
      </c>
      <c r="AI19">
        <v>1</v>
      </c>
      <c r="AJ19">
        <v>0</v>
      </c>
      <c r="AK19">
        <v>1.5</v>
      </c>
      <c r="AL19">
        <v>0.51</v>
      </c>
      <c r="AM19">
        <v>1.5</v>
      </c>
      <c r="AN19">
        <v>0.51</v>
      </c>
    </row>
    <row r="20" spans="1:40" x14ac:dyDescent="0.25">
      <c r="A20">
        <v>262</v>
      </c>
      <c r="B20">
        <v>261</v>
      </c>
      <c r="C20">
        <v>1</v>
      </c>
      <c r="D20" t="s">
        <v>159</v>
      </c>
      <c r="E20">
        <v>1</v>
      </c>
      <c r="F20">
        <v>1</v>
      </c>
      <c r="G20">
        <v>1</v>
      </c>
      <c r="H20">
        <v>0</v>
      </c>
      <c r="I20">
        <v>0</v>
      </c>
      <c r="J20">
        <v>1</v>
      </c>
      <c r="K20" t="s">
        <v>138</v>
      </c>
      <c r="L20">
        <v>1</v>
      </c>
      <c r="M20" t="s">
        <v>139</v>
      </c>
      <c r="N20" t="s">
        <v>140</v>
      </c>
      <c r="O20" t="s">
        <v>141</v>
      </c>
      <c r="P20">
        <v>0</v>
      </c>
      <c r="Q20">
        <v>0.1</v>
      </c>
      <c r="R20">
        <v>90</v>
      </c>
      <c r="W20">
        <v>1</v>
      </c>
      <c r="X20">
        <v>1</v>
      </c>
      <c r="Y20">
        <v>0</v>
      </c>
      <c r="Z20">
        <v>1</v>
      </c>
      <c r="AA20">
        <v>0</v>
      </c>
      <c r="AB20">
        <v>1</v>
      </c>
      <c r="AC20">
        <v>0</v>
      </c>
      <c r="AD20">
        <v>1</v>
      </c>
      <c r="AE20">
        <v>100</v>
      </c>
      <c r="AF20">
        <v>1</v>
      </c>
      <c r="AG20">
        <v>0</v>
      </c>
      <c r="AH20">
        <v>30</v>
      </c>
      <c r="AI20">
        <v>1</v>
      </c>
      <c r="AJ20">
        <v>0</v>
      </c>
      <c r="AK20">
        <v>1.5</v>
      </c>
      <c r="AL20">
        <v>0.51</v>
      </c>
      <c r="AM20">
        <v>1.5</v>
      </c>
      <c r="AN20">
        <v>0.51</v>
      </c>
    </row>
    <row r="21" spans="1:40" x14ac:dyDescent="0.25">
      <c r="A21">
        <v>264</v>
      </c>
      <c r="B21">
        <v>263</v>
      </c>
      <c r="C21">
        <v>2</v>
      </c>
      <c r="D21" t="s">
        <v>160</v>
      </c>
      <c r="E21">
        <v>1</v>
      </c>
      <c r="F21">
        <v>1</v>
      </c>
      <c r="G21">
        <v>1</v>
      </c>
      <c r="H21">
        <v>0</v>
      </c>
      <c r="I21">
        <v>0</v>
      </c>
      <c r="J21">
        <v>1</v>
      </c>
      <c r="K21" t="s">
        <v>138</v>
      </c>
      <c r="L21">
        <v>1</v>
      </c>
      <c r="M21" t="s">
        <v>139</v>
      </c>
      <c r="N21" t="s">
        <v>140</v>
      </c>
      <c r="O21" t="s">
        <v>141</v>
      </c>
      <c r="P21">
        <v>0</v>
      </c>
      <c r="Q21">
        <v>0.1</v>
      </c>
      <c r="R21">
        <v>60</v>
      </c>
      <c r="W21">
        <v>1</v>
      </c>
      <c r="X21">
        <v>1</v>
      </c>
      <c r="Y21">
        <v>0</v>
      </c>
      <c r="Z21">
        <v>1</v>
      </c>
      <c r="AA21">
        <v>0</v>
      </c>
      <c r="AB21">
        <v>1</v>
      </c>
      <c r="AC21">
        <v>0</v>
      </c>
      <c r="AD21">
        <v>1</v>
      </c>
      <c r="AE21">
        <v>100</v>
      </c>
      <c r="AF21">
        <v>1</v>
      </c>
      <c r="AG21">
        <v>0</v>
      </c>
      <c r="AH21">
        <v>30</v>
      </c>
      <c r="AI21">
        <v>1</v>
      </c>
      <c r="AJ21">
        <v>0</v>
      </c>
      <c r="AK21">
        <v>1.5</v>
      </c>
      <c r="AL21">
        <v>0.51</v>
      </c>
      <c r="AM21">
        <v>1.5</v>
      </c>
      <c r="AN21">
        <v>0.51</v>
      </c>
    </row>
    <row r="22" spans="1:40" x14ac:dyDescent="0.25">
      <c r="A22">
        <v>271</v>
      </c>
      <c r="B22">
        <v>272</v>
      </c>
      <c r="C22">
        <v>1</v>
      </c>
      <c r="D22" t="s">
        <v>161</v>
      </c>
      <c r="E22">
        <v>1</v>
      </c>
      <c r="F22">
        <v>1</v>
      </c>
      <c r="G22">
        <v>1</v>
      </c>
      <c r="H22">
        <v>0</v>
      </c>
      <c r="I22">
        <v>0</v>
      </c>
      <c r="J22">
        <v>1</v>
      </c>
      <c r="K22" t="s">
        <v>138</v>
      </c>
      <c r="L22">
        <v>1</v>
      </c>
      <c r="M22" t="s">
        <v>139</v>
      </c>
      <c r="N22" t="s">
        <v>140</v>
      </c>
      <c r="O22" t="s">
        <v>141</v>
      </c>
      <c r="P22">
        <v>0</v>
      </c>
      <c r="Q22">
        <v>0.25</v>
      </c>
      <c r="R22">
        <v>50</v>
      </c>
      <c r="W22">
        <v>1</v>
      </c>
      <c r="X22">
        <v>1</v>
      </c>
      <c r="Y22">
        <v>0</v>
      </c>
      <c r="Z22">
        <v>1</v>
      </c>
      <c r="AA22">
        <v>0</v>
      </c>
      <c r="AB22">
        <v>1</v>
      </c>
      <c r="AC22">
        <v>0</v>
      </c>
      <c r="AD22">
        <v>1</v>
      </c>
      <c r="AE22">
        <v>100</v>
      </c>
      <c r="AF22">
        <v>1</v>
      </c>
      <c r="AG22">
        <v>0</v>
      </c>
      <c r="AH22">
        <v>30</v>
      </c>
      <c r="AI22">
        <v>1</v>
      </c>
      <c r="AJ22">
        <v>0</v>
      </c>
      <c r="AK22">
        <v>1.5</v>
      </c>
      <c r="AL22">
        <v>0.51</v>
      </c>
      <c r="AM22">
        <v>1.5</v>
      </c>
      <c r="AN22">
        <v>0.51</v>
      </c>
    </row>
    <row r="23" spans="1:40" x14ac:dyDescent="0.25">
      <c r="A23">
        <v>211</v>
      </c>
      <c r="B23">
        <v>212</v>
      </c>
      <c r="C23">
        <v>1</v>
      </c>
      <c r="D23" t="s">
        <v>162</v>
      </c>
      <c r="E23">
        <v>1</v>
      </c>
      <c r="F23">
        <v>1</v>
      </c>
      <c r="G23">
        <v>1</v>
      </c>
      <c r="H23">
        <v>0</v>
      </c>
      <c r="I23">
        <v>0</v>
      </c>
      <c r="J23">
        <v>1</v>
      </c>
      <c r="K23" t="s">
        <v>138</v>
      </c>
      <c r="L23">
        <v>1</v>
      </c>
      <c r="M23" t="s">
        <v>139</v>
      </c>
      <c r="N23" t="s">
        <v>140</v>
      </c>
      <c r="O23" t="s">
        <v>141</v>
      </c>
      <c r="P23">
        <v>0</v>
      </c>
      <c r="Q23">
        <v>7.0000000000000007E-2</v>
      </c>
      <c r="R23">
        <v>50</v>
      </c>
      <c r="W23">
        <v>1</v>
      </c>
      <c r="X23">
        <v>1</v>
      </c>
      <c r="Y23">
        <v>0</v>
      </c>
      <c r="Z23">
        <v>1</v>
      </c>
      <c r="AA23">
        <v>0</v>
      </c>
      <c r="AB23">
        <v>1</v>
      </c>
      <c r="AC23">
        <v>0</v>
      </c>
      <c r="AD23">
        <v>1</v>
      </c>
      <c r="AE23">
        <v>100</v>
      </c>
      <c r="AF23">
        <v>1</v>
      </c>
      <c r="AG23">
        <v>0</v>
      </c>
      <c r="AH23">
        <v>30</v>
      </c>
      <c r="AI23">
        <v>1</v>
      </c>
      <c r="AJ23">
        <v>0</v>
      </c>
      <c r="AK23">
        <v>1.5</v>
      </c>
      <c r="AL23">
        <v>0.51</v>
      </c>
      <c r="AM23">
        <v>1.5</v>
      </c>
      <c r="AN23">
        <v>0.51</v>
      </c>
    </row>
    <row r="24" spans="1:40" x14ac:dyDescent="0.25">
      <c r="A24">
        <v>151</v>
      </c>
      <c r="B24">
        <v>153</v>
      </c>
      <c r="C24">
        <v>1</v>
      </c>
      <c r="D24" t="s">
        <v>355</v>
      </c>
      <c r="E24">
        <v>1</v>
      </c>
      <c r="F24">
        <v>1</v>
      </c>
      <c r="G24">
        <v>1</v>
      </c>
      <c r="H24">
        <v>0</v>
      </c>
      <c r="I24">
        <v>0</v>
      </c>
      <c r="J24">
        <v>1</v>
      </c>
      <c r="K24" t="s">
        <v>138</v>
      </c>
      <c r="L24">
        <v>1</v>
      </c>
      <c r="M24" t="s">
        <v>139</v>
      </c>
      <c r="N24" t="s">
        <v>140</v>
      </c>
      <c r="O24" t="s">
        <v>141</v>
      </c>
      <c r="P24">
        <v>0</v>
      </c>
      <c r="Q24">
        <v>0.01</v>
      </c>
      <c r="R24">
        <v>552</v>
      </c>
      <c r="W24">
        <v>1</v>
      </c>
      <c r="X24">
        <v>1</v>
      </c>
      <c r="Y24">
        <v>0</v>
      </c>
      <c r="Z24">
        <v>1</v>
      </c>
      <c r="AA24">
        <v>0</v>
      </c>
      <c r="AB24">
        <v>1</v>
      </c>
      <c r="AC24">
        <v>0</v>
      </c>
      <c r="AD24">
        <v>1</v>
      </c>
      <c r="AE24">
        <v>100</v>
      </c>
      <c r="AF24">
        <v>1</v>
      </c>
      <c r="AG24">
        <v>0</v>
      </c>
      <c r="AH24">
        <v>30</v>
      </c>
      <c r="AI24">
        <v>1</v>
      </c>
      <c r="AJ24">
        <v>0</v>
      </c>
      <c r="AK24">
        <v>1.5</v>
      </c>
      <c r="AL24">
        <v>0.51</v>
      </c>
      <c r="AM24">
        <v>1.5</v>
      </c>
      <c r="AN24">
        <v>0.51</v>
      </c>
    </row>
    <row r="25" spans="1:40" x14ac:dyDescent="0.25">
      <c r="A25">
        <v>271</v>
      </c>
      <c r="B25">
        <v>274</v>
      </c>
      <c r="C25">
        <v>1</v>
      </c>
      <c r="D25" t="s">
        <v>356</v>
      </c>
      <c r="E25">
        <v>1</v>
      </c>
      <c r="F25">
        <v>1</v>
      </c>
      <c r="G25">
        <v>1</v>
      </c>
      <c r="H25">
        <v>0</v>
      </c>
      <c r="I25">
        <v>0</v>
      </c>
      <c r="J25">
        <v>1</v>
      </c>
      <c r="K25" t="s">
        <v>138</v>
      </c>
      <c r="L25">
        <v>1</v>
      </c>
      <c r="M25" t="s">
        <v>139</v>
      </c>
      <c r="N25" t="s">
        <v>140</v>
      </c>
      <c r="O25" t="s">
        <v>141</v>
      </c>
      <c r="P25">
        <v>0</v>
      </c>
      <c r="Q25">
        <v>0.01</v>
      </c>
      <c r="R25">
        <v>120</v>
      </c>
      <c r="W25">
        <v>1</v>
      </c>
      <c r="X25">
        <v>1</v>
      </c>
      <c r="Y25">
        <v>0</v>
      </c>
      <c r="Z25">
        <v>1</v>
      </c>
      <c r="AA25">
        <v>0</v>
      </c>
      <c r="AB25">
        <v>1</v>
      </c>
      <c r="AC25">
        <v>0</v>
      </c>
      <c r="AD25">
        <v>1</v>
      </c>
      <c r="AE25">
        <v>100</v>
      </c>
      <c r="AF25">
        <v>1</v>
      </c>
      <c r="AG25">
        <v>0</v>
      </c>
      <c r="AH25">
        <v>30</v>
      </c>
      <c r="AI25">
        <v>1</v>
      </c>
      <c r="AJ25">
        <v>0</v>
      </c>
      <c r="AK25">
        <v>1.5</v>
      </c>
      <c r="AL25">
        <v>0.51</v>
      </c>
      <c r="AM25">
        <v>1.5</v>
      </c>
      <c r="AN25">
        <v>0.51</v>
      </c>
    </row>
  </sheetData>
  <phoneticPr fontId="1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61"/>
  <sheetViews>
    <sheetView workbookViewId="0">
      <selection activeCell="H11" sqref="H11"/>
    </sheetView>
  </sheetViews>
  <sheetFormatPr defaultRowHeight="13.2" x14ac:dyDescent="0.25"/>
  <cols>
    <col min="1" max="1" width="15.5546875" customWidth="1"/>
  </cols>
  <sheetData>
    <row r="1" spans="1:13" x14ac:dyDescent="0.25">
      <c r="B1" t="s">
        <v>239</v>
      </c>
      <c r="C1" t="s">
        <v>5</v>
      </c>
      <c r="D1" t="s">
        <v>167</v>
      </c>
      <c r="E1" t="s">
        <v>168</v>
      </c>
      <c r="F1" t="s">
        <v>169</v>
      </c>
      <c r="G1" t="s">
        <v>280</v>
      </c>
      <c r="H1" t="s">
        <v>281</v>
      </c>
      <c r="I1" t="s">
        <v>282</v>
      </c>
      <c r="J1" t="s">
        <v>283</v>
      </c>
      <c r="K1" t="s">
        <v>284</v>
      </c>
      <c r="L1" t="s">
        <v>285</v>
      </c>
      <c r="M1" t="s">
        <v>286</v>
      </c>
    </row>
    <row r="2" spans="1:13" x14ac:dyDescent="0.25">
      <c r="A2" t="s">
        <v>287</v>
      </c>
      <c r="B2">
        <v>131</v>
      </c>
      <c r="C2">
        <v>1</v>
      </c>
      <c r="D2">
        <v>2</v>
      </c>
      <c r="E2">
        <v>2</v>
      </c>
      <c r="F2">
        <v>1</v>
      </c>
      <c r="G2">
        <v>1</v>
      </c>
      <c r="H2">
        <v>184</v>
      </c>
      <c r="I2">
        <v>18.399999999999999</v>
      </c>
      <c r="J2">
        <v>0</v>
      </c>
      <c r="K2">
        <v>0</v>
      </c>
      <c r="L2">
        <v>0</v>
      </c>
      <c r="M2">
        <v>0</v>
      </c>
    </row>
    <row r="3" spans="1:13" x14ac:dyDescent="0.25">
      <c r="A3" t="s">
        <v>288</v>
      </c>
      <c r="B3">
        <v>137</v>
      </c>
      <c r="C3">
        <v>1</v>
      </c>
      <c r="D3">
        <v>2</v>
      </c>
      <c r="E3">
        <v>2</v>
      </c>
      <c r="F3">
        <v>1</v>
      </c>
      <c r="G3">
        <v>1</v>
      </c>
      <c r="H3">
        <v>198.8</v>
      </c>
      <c r="I3">
        <v>19.88</v>
      </c>
      <c r="J3">
        <v>0</v>
      </c>
      <c r="K3">
        <v>0</v>
      </c>
      <c r="L3">
        <v>0</v>
      </c>
      <c r="M3">
        <v>0</v>
      </c>
    </row>
    <row r="4" spans="1:13" x14ac:dyDescent="0.25">
      <c r="A4" t="s">
        <v>289</v>
      </c>
      <c r="B4">
        <v>133</v>
      </c>
      <c r="C4">
        <v>1</v>
      </c>
      <c r="D4">
        <v>2</v>
      </c>
      <c r="E4">
        <v>2</v>
      </c>
      <c r="F4">
        <v>1</v>
      </c>
      <c r="G4">
        <v>1</v>
      </c>
      <c r="H4">
        <v>213.8</v>
      </c>
      <c r="I4">
        <v>21.38</v>
      </c>
      <c r="J4">
        <v>0</v>
      </c>
      <c r="K4">
        <v>0</v>
      </c>
      <c r="L4">
        <v>0</v>
      </c>
      <c r="M4">
        <v>0</v>
      </c>
    </row>
    <row r="5" spans="1:13" x14ac:dyDescent="0.25">
      <c r="A5" t="s">
        <v>290</v>
      </c>
      <c r="B5">
        <v>139</v>
      </c>
      <c r="C5">
        <v>1</v>
      </c>
      <c r="D5">
        <v>2</v>
      </c>
      <c r="E5">
        <v>2</v>
      </c>
      <c r="F5">
        <v>1</v>
      </c>
      <c r="G5">
        <v>1</v>
      </c>
      <c r="H5">
        <v>202.3</v>
      </c>
      <c r="I5">
        <v>20.23</v>
      </c>
      <c r="J5">
        <v>0</v>
      </c>
      <c r="K5">
        <v>0</v>
      </c>
      <c r="L5">
        <v>0</v>
      </c>
      <c r="M5">
        <v>0</v>
      </c>
    </row>
    <row r="6" spans="1:13" x14ac:dyDescent="0.25">
      <c r="A6" t="s">
        <v>291</v>
      </c>
      <c r="B6">
        <v>41</v>
      </c>
      <c r="C6">
        <v>1</v>
      </c>
      <c r="D6">
        <v>1</v>
      </c>
      <c r="E6">
        <v>1</v>
      </c>
      <c r="F6">
        <v>1</v>
      </c>
      <c r="G6">
        <v>1</v>
      </c>
      <c r="H6">
        <v>144.6</v>
      </c>
      <c r="I6">
        <v>14.46</v>
      </c>
      <c r="J6">
        <v>0</v>
      </c>
      <c r="K6">
        <v>0</v>
      </c>
      <c r="L6">
        <v>0</v>
      </c>
      <c r="M6">
        <v>0</v>
      </c>
    </row>
    <row r="7" spans="1:13" x14ac:dyDescent="0.25">
      <c r="A7" t="s">
        <v>292</v>
      </c>
      <c r="B7">
        <v>43</v>
      </c>
      <c r="C7">
        <v>1</v>
      </c>
      <c r="D7">
        <v>1</v>
      </c>
      <c r="E7">
        <v>1</v>
      </c>
      <c r="F7">
        <v>1</v>
      </c>
      <c r="G7">
        <v>1</v>
      </c>
      <c r="H7">
        <v>7.6</v>
      </c>
      <c r="I7">
        <v>0.76</v>
      </c>
      <c r="J7">
        <v>0</v>
      </c>
      <c r="K7">
        <v>0</v>
      </c>
      <c r="L7">
        <v>0</v>
      </c>
      <c r="M7">
        <v>0</v>
      </c>
    </row>
    <row r="8" spans="1:13" x14ac:dyDescent="0.25">
      <c r="A8" t="s">
        <v>293</v>
      </c>
      <c r="B8">
        <v>91</v>
      </c>
      <c r="C8">
        <v>1</v>
      </c>
      <c r="D8">
        <v>1</v>
      </c>
      <c r="E8">
        <v>1</v>
      </c>
      <c r="F8">
        <v>1</v>
      </c>
      <c r="G8">
        <v>1</v>
      </c>
      <c r="H8">
        <v>221.9</v>
      </c>
      <c r="I8">
        <v>22.19</v>
      </c>
      <c r="J8">
        <v>0</v>
      </c>
      <c r="K8">
        <v>0</v>
      </c>
      <c r="L8">
        <v>0</v>
      </c>
      <c r="M8">
        <v>0</v>
      </c>
    </row>
    <row r="9" spans="1:13" x14ac:dyDescent="0.25">
      <c r="A9" t="s">
        <v>294</v>
      </c>
      <c r="B9">
        <v>93</v>
      </c>
      <c r="C9">
        <v>1</v>
      </c>
      <c r="D9">
        <v>1</v>
      </c>
      <c r="E9">
        <v>1</v>
      </c>
      <c r="F9">
        <v>1</v>
      </c>
      <c r="G9">
        <v>1</v>
      </c>
      <c r="H9">
        <v>4.5999999999999996</v>
      </c>
      <c r="I9">
        <v>0.46</v>
      </c>
      <c r="J9">
        <v>0</v>
      </c>
      <c r="K9">
        <v>0</v>
      </c>
      <c r="L9">
        <v>0</v>
      </c>
      <c r="M9">
        <v>0</v>
      </c>
    </row>
    <row r="10" spans="1:13" x14ac:dyDescent="0.25">
      <c r="A10" t="s">
        <v>295</v>
      </c>
      <c r="B10">
        <v>94</v>
      </c>
      <c r="C10">
        <v>1</v>
      </c>
      <c r="D10">
        <v>1</v>
      </c>
      <c r="E10">
        <v>1</v>
      </c>
      <c r="F10">
        <v>1</v>
      </c>
      <c r="G10">
        <v>1</v>
      </c>
      <c r="H10">
        <v>2.2999999999999998</v>
      </c>
      <c r="I10">
        <v>0.23</v>
      </c>
      <c r="J10">
        <v>0</v>
      </c>
      <c r="K10">
        <v>0</v>
      </c>
      <c r="L10">
        <v>0</v>
      </c>
      <c r="M10">
        <v>0</v>
      </c>
    </row>
    <row r="11" spans="1:13" x14ac:dyDescent="0.25">
      <c r="A11" t="s">
        <v>296</v>
      </c>
      <c r="B11">
        <v>191</v>
      </c>
      <c r="C11">
        <v>1</v>
      </c>
      <c r="D11">
        <v>1</v>
      </c>
      <c r="E11">
        <v>1</v>
      </c>
      <c r="F11">
        <v>1</v>
      </c>
      <c r="G11">
        <v>1</v>
      </c>
      <c r="H11">
        <v>361.7</v>
      </c>
      <c r="I11">
        <v>36.17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297</v>
      </c>
      <c r="B12">
        <v>193</v>
      </c>
      <c r="C12">
        <v>1</v>
      </c>
      <c r="D12">
        <v>1</v>
      </c>
      <c r="E12">
        <v>1</v>
      </c>
      <c r="F12">
        <v>1</v>
      </c>
      <c r="G12">
        <v>1</v>
      </c>
      <c r="H12">
        <v>19.100000000000001</v>
      </c>
      <c r="I12">
        <v>1.91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 t="s">
        <v>298</v>
      </c>
      <c r="B13">
        <v>21</v>
      </c>
      <c r="C13">
        <v>1</v>
      </c>
      <c r="D13">
        <v>1</v>
      </c>
      <c r="E13">
        <v>1</v>
      </c>
      <c r="F13">
        <v>1</v>
      </c>
      <c r="G13">
        <v>1</v>
      </c>
      <c r="H13">
        <v>120.8</v>
      </c>
      <c r="I13">
        <v>12.08</v>
      </c>
      <c r="J13">
        <v>0</v>
      </c>
      <c r="K13">
        <v>0</v>
      </c>
      <c r="L13">
        <v>0</v>
      </c>
      <c r="M13">
        <v>0</v>
      </c>
    </row>
    <row r="14" spans="1:13" x14ac:dyDescent="0.25">
      <c r="A14" t="s">
        <v>299</v>
      </c>
      <c r="B14">
        <v>21</v>
      </c>
      <c r="C14">
        <v>2</v>
      </c>
      <c r="D14">
        <v>1</v>
      </c>
      <c r="E14">
        <v>1</v>
      </c>
      <c r="F14">
        <v>1</v>
      </c>
      <c r="G14">
        <v>1</v>
      </c>
      <c r="H14">
        <v>120.8</v>
      </c>
      <c r="I14">
        <v>12.08</v>
      </c>
      <c r="J14">
        <v>0</v>
      </c>
      <c r="K14">
        <v>0</v>
      </c>
      <c r="L14">
        <v>0</v>
      </c>
      <c r="M14">
        <v>0</v>
      </c>
    </row>
    <row r="15" spans="1:13" x14ac:dyDescent="0.25">
      <c r="A15" t="s">
        <v>300</v>
      </c>
      <c r="B15">
        <v>23</v>
      </c>
      <c r="C15">
        <v>1</v>
      </c>
      <c r="D15">
        <v>1</v>
      </c>
      <c r="E15">
        <v>1</v>
      </c>
      <c r="F15">
        <v>1</v>
      </c>
      <c r="G15">
        <v>1</v>
      </c>
      <c r="H15">
        <v>15.7</v>
      </c>
      <c r="I15">
        <v>1.57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301</v>
      </c>
      <c r="B16">
        <v>161</v>
      </c>
      <c r="C16">
        <v>1</v>
      </c>
      <c r="D16">
        <v>1</v>
      </c>
      <c r="E16">
        <v>1</v>
      </c>
      <c r="F16">
        <v>1</v>
      </c>
      <c r="G16">
        <v>1</v>
      </c>
      <c r="H16">
        <v>127</v>
      </c>
      <c r="I16">
        <v>12.7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302</v>
      </c>
      <c r="B17">
        <v>163</v>
      </c>
      <c r="C17">
        <v>1</v>
      </c>
      <c r="D17">
        <v>1</v>
      </c>
      <c r="E17">
        <v>1</v>
      </c>
      <c r="F17">
        <v>1</v>
      </c>
      <c r="G17">
        <v>1</v>
      </c>
      <c r="H17">
        <v>37.9</v>
      </c>
      <c r="I17">
        <v>3.79</v>
      </c>
      <c r="J17">
        <v>0</v>
      </c>
      <c r="K17">
        <v>0</v>
      </c>
      <c r="L17">
        <v>0</v>
      </c>
      <c r="M17">
        <v>0</v>
      </c>
    </row>
    <row r="18" spans="1:13" x14ac:dyDescent="0.25">
      <c r="A18" t="s">
        <v>303</v>
      </c>
      <c r="B18">
        <v>164</v>
      </c>
      <c r="C18">
        <v>1</v>
      </c>
      <c r="D18">
        <v>1</v>
      </c>
      <c r="E18">
        <v>1</v>
      </c>
      <c r="F18">
        <v>1</v>
      </c>
      <c r="G18">
        <v>1</v>
      </c>
      <c r="H18">
        <v>8.6999999999999993</v>
      </c>
      <c r="I18">
        <v>0.87</v>
      </c>
      <c r="J18">
        <v>0</v>
      </c>
      <c r="K18">
        <v>0</v>
      </c>
      <c r="L18">
        <v>0</v>
      </c>
      <c r="M18">
        <v>0</v>
      </c>
    </row>
    <row r="19" spans="1:13" x14ac:dyDescent="0.25">
      <c r="A19" t="s">
        <v>304</v>
      </c>
      <c r="B19">
        <v>113</v>
      </c>
      <c r="C19">
        <v>1</v>
      </c>
      <c r="D19">
        <v>1</v>
      </c>
      <c r="E19">
        <v>1</v>
      </c>
      <c r="F19">
        <v>1</v>
      </c>
      <c r="G19">
        <v>1</v>
      </c>
      <c r="H19">
        <v>84</v>
      </c>
      <c r="I19">
        <v>8.4</v>
      </c>
      <c r="J19">
        <v>0</v>
      </c>
      <c r="K19">
        <v>0</v>
      </c>
      <c r="L19">
        <v>0</v>
      </c>
      <c r="M19">
        <v>0</v>
      </c>
    </row>
    <row r="20" spans="1:13" x14ac:dyDescent="0.25">
      <c r="A20" t="s">
        <v>305</v>
      </c>
      <c r="B20">
        <v>114</v>
      </c>
      <c r="C20">
        <v>1</v>
      </c>
      <c r="D20">
        <v>1</v>
      </c>
      <c r="E20">
        <v>1</v>
      </c>
      <c r="F20">
        <v>1</v>
      </c>
      <c r="G20">
        <v>1</v>
      </c>
      <c r="H20">
        <v>9.4</v>
      </c>
      <c r="I20">
        <v>0.94</v>
      </c>
      <c r="J20">
        <v>0</v>
      </c>
      <c r="K20">
        <v>0</v>
      </c>
      <c r="L20">
        <v>0</v>
      </c>
      <c r="M20">
        <v>0</v>
      </c>
    </row>
    <row r="21" spans="1:13" x14ac:dyDescent="0.25">
      <c r="A21" t="s">
        <v>306</v>
      </c>
      <c r="B21">
        <v>145</v>
      </c>
      <c r="C21">
        <v>1</v>
      </c>
      <c r="D21">
        <v>1</v>
      </c>
      <c r="E21">
        <v>1</v>
      </c>
      <c r="F21">
        <v>1</v>
      </c>
      <c r="G21">
        <v>1</v>
      </c>
      <c r="H21">
        <v>91.2</v>
      </c>
      <c r="I21">
        <v>9.1199999999999992</v>
      </c>
      <c r="J21">
        <v>0</v>
      </c>
      <c r="K21">
        <v>0</v>
      </c>
      <c r="L21">
        <v>0</v>
      </c>
      <c r="M21">
        <v>0</v>
      </c>
    </row>
    <row r="22" spans="1:13" x14ac:dyDescent="0.25">
      <c r="A22" t="s">
        <v>307</v>
      </c>
      <c r="B22">
        <v>143</v>
      </c>
      <c r="C22">
        <v>1</v>
      </c>
      <c r="D22">
        <v>1</v>
      </c>
      <c r="E22">
        <v>1</v>
      </c>
      <c r="F22">
        <v>1</v>
      </c>
      <c r="G22">
        <v>1</v>
      </c>
      <c r="H22">
        <v>1.9</v>
      </c>
      <c r="I22">
        <v>0.19</v>
      </c>
      <c r="J22">
        <v>0</v>
      </c>
      <c r="K22">
        <v>0</v>
      </c>
      <c r="L22">
        <v>0</v>
      </c>
      <c r="M22">
        <v>0</v>
      </c>
    </row>
    <row r="23" spans="1:13" x14ac:dyDescent="0.25">
      <c r="A23" t="s">
        <v>308</v>
      </c>
      <c r="B23">
        <v>12</v>
      </c>
      <c r="C23">
        <v>1</v>
      </c>
      <c r="D23">
        <v>1</v>
      </c>
      <c r="E23">
        <v>1</v>
      </c>
      <c r="F23">
        <v>1</v>
      </c>
      <c r="G23">
        <v>1</v>
      </c>
      <c r="H23">
        <v>21.7</v>
      </c>
      <c r="I23">
        <v>2.17</v>
      </c>
      <c r="J23">
        <v>0</v>
      </c>
      <c r="K23">
        <v>0</v>
      </c>
      <c r="L23">
        <v>0</v>
      </c>
      <c r="M23">
        <v>0</v>
      </c>
    </row>
    <row r="24" spans="1:13" x14ac:dyDescent="0.25">
      <c r="A24" t="s">
        <v>309</v>
      </c>
      <c r="B24">
        <v>13</v>
      </c>
      <c r="C24">
        <v>1</v>
      </c>
      <c r="D24">
        <v>1</v>
      </c>
      <c r="E24">
        <v>1</v>
      </c>
      <c r="F24">
        <v>1</v>
      </c>
      <c r="G24">
        <v>1</v>
      </c>
      <c r="H24">
        <v>22.3</v>
      </c>
      <c r="I24">
        <v>2.23</v>
      </c>
      <c r="J24">
        <v>0</v>
      </c>
      <c r="K24">
        <v>0</v>
      </c>
      <c r="L24">
        <v>0</v>
      </c>
      <c r="M24">
        <v>0</v>
      </c>
    </row>
    <row r="25" spans="1:13" x14ac:dyDescent="0.25">
      <c r="A25" t="s">
        <v>310</v>
      </c>
      <c r="B25">
        <v>31</v>
      </c>
      <c r="C25">
        <v>1</v>
      </c>
      <c r="D25">
        <v>1</v>
      </c>
      <c r="E25">
        <v>1</v>
      </c>
      <c r="F25">
        <v>1</v>
      </c>
      <c r="G25">
        <v>1</v>
      </c>
      <c r="H25">
        <v>107.5</v>
      </c>
      <c r="I25">
        <v>10.75</v>
      </c>
      <c r="J25">
        <v>0</v>
      </c>
      <c r="K25">
        <v>0</v>
      </c>
      <c r="L25">
        <v>0</v>
      </c>
      <c r="M25">
        <v>0</v>
      </c>
    </row>
    <row r="26" spans="1:13" x14ac:dyDescent="0.25">
      <c r="A26" t="s">
        <v>311</v>
      </c>
      <c r="B26">
        <v>32</v>
      </c>
      <c r="C26">
        <v>1</v>
      </c>
      <c r="D26">
        <v>1</v>
      </c>
      <c r="E26">
        <v>1</v>
      </c>
      <c r="F26">
        <v>1</v>
      </c>
      <c r="G26">
        <v>1</v>
      </c>
      <c r="H26">
        <v>107.5</v>
      </c>
      <c r="I26">
        <v>10.75</v>
      </c>
      <c r="J26">
        <v>0</v>
      </c>
      <c r="K26">
        <v>0</v>
      </c>
      <c r="L26">
        <v>0</v>
      </c>
      <c r="M26">
        <v>0</v>
      </c>
    </row>
    <row r="27" spans="1:13" x14ac:dyDescent="0.25">
      <c r="A27" t="s">
        <v>312</v>
      </c>
      <c r="B27">
        <v>51</v>
      </c>
      <c r="C27">
        <v>1</v>
      </c>
      <c r="D27">
        <v>1</v>
      </c>
      <c r="E27">
        <v>1</v>
      </c>
      <c r="F27">
        <v>1</v>
      </c>
      <c r="G27">
        <v>1</v>
      </c>
      <c r="H27">
        <v>86.8</v>
      </c>
      <c r="I27">
        <v>8.68</v>
      </c>
      <c r="J27">
        <v>0</v>
      </c>
      <c r="K27">
        <v>0</v>
      </c>
      <c r="L27">
        <v>0</v>
      </c>
      <c r="M27">
        <v>0</v>
      </c>
    </row>
    <row r="28" spans="1:13" x14ac:dyDescent="0.25">
      <c r="A28" t="s">
        <v>313</v>
      </c>
      <c r="B28">
        <v>61</v>
      </c>
      <c r="C28">
        <v>1</v>
      </c>
      <c r="D28">
        <v>1</v>
      </c>
      <c r="E28">
        <v>1</v>
      </c>
      <c r="F28">
        <v>1</v>
      </c>
      <c r="G28">
        <v>1</v>
      </c>
      <c r="H28">
        <v>31.9</v>
      </c>
      <c r="I28">
        <v>3.19</v>
      </c>
      <c r="J28">
        <v>0</v>
      </c>
      <c r="K28">
        <v>0</v>
      </c>
      <c r="L28">
        <v>0</v>
      </c>
      <c r="M28">
        <v>0</v>
      </c>
    </row>
    <row r="29" spans="1:13" x14ac:dyDescent="0.25">
      <c r="A29" t="s">
        <v>314</v>
      </c>
      <c r="B29">
        <v>62</v>
      </c>
      <c r="C29">
        <v>1</v>
      </c>
      <c r="D29">
        <v>1</v>
      </c>
      <c r="E29">
        <v>1</v>
      </c>
      <c r="F29">
        <v>1</v>
      </c>
      <c r="G29">
        <v>1</v>
      </c>
      <c r="H29">
        <v>32.1</v>
      </c>
      <c r="I29">
        <v>3.21</v>
      </c>
      <c r="J29">
        <v>0</v>
      </c>
      <c r="K29">
        <v>0</v>
      </c>
      <c r="L29">
        <v>0</v>
      </c>
      <c r="M29">
        <v>0</v>
      </c>
    </row>
    <row r="30" spans="1:13" x14ac:dyDescent="0.25">
      <c r="A30" t="s">
        <v>315</v>
      </c>
      <c r="B30">
        <v>75</v>
      </c>
      <c r="C30">
        <v>1</v>
      </c>
      <c r="D30">
        <v>1</v>
      </c>
      <c r="E30">
        <v>1</v>
      </c>
      <c r="F30">
        <v>1</v>
      </c>
      <c r="G30">
        <v>1</v>
      </c>
      <c r="H30">
        <v>28.9</v>
      </c>
      <c r="I30">
        <v>2.89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316</v>
      </c>
      <c r="B31">
        <v>77</v>
      </c>
      <c r="C31">
        <v>1</v>
      </c>
      <c r="D31">
        <v>1</v>
      </c>
      <c r="E31">
        <v>1</v>
      </c>
      <c r="F31">
        <v>1</v>
      </c>
      <c r="G31">
        <v>1</v>
      </c>
      <c r="H31">
        <v>29.1</v>
      </c>
      <c r="I31">
        <v>2.91</v>
      </c>
      <c r="J31">
        <v>0</v>
      </c>
      <c r="K31">
        <v>0</v>
      </c>
      <c r="L31">
        <v>0</v>
      </c>
      <c r="M31">
        <v>0</v>
      </c>
    </row>
    <row r="32" spans="1:13" x14ac:dyDescent="0.25">
      <c r="A32" t="s">
        <v>317</v>
      </c>
      <c r="B32">
        <v>81</v>
      </c>
      <c r="C32">
        <v>1</v>
      </c>
      <c r="D32">
        <v>1</v>
      </c>
      <c r="E32">
        <v>1</v>
      </c>
      <c r="F32">
        <v>1</v>
      </c>
      <c r="G32">
        <v>1</v>
      </c>
      <c r="H32">
        <v>29.9</v>
      </c>
      <c r="I32">
        <v>2.99</v>
      </c>
      <c r="J32">
        <v>0</v>
      </c>
      <c r="K32">
        <v>0</v>
      </c>
      <c r="L32">
        <v>0</v>
      </c>
      <c r="M32">
        <v>0</v>
      </c>
    </row>
    <row r="33" spans="1:13" x14ac:dyDescent="0.25">
      <c r="A33" t="s">
        <v>318</v>
      </c>
      <c r="B33">
        <v>101</v>
      </c>
      <c r="C33">
        <v>1</v>
      </c>
      <c r="D33">
        <v>1</v>
      </c>
      <c r="E33">
        <v>1</v>
      </c>
      <c r="F33">
        <v>1</v>
      </c>
      <c r="G33">
        <v>1</v>
      </c>
      <c r="H33">
        <v>85.7</v>
      </c>
      <c r="I33">
        <v>8.57</v>
      </c>
      <c r="J33">
        <v>0</v>
      </c>
      <c r="K33">
        <v>0</v>
      </c>
      <c r="L33">
        <v>0</v>
      </c>
      <c r="M33">
        <v>0</v>
      </c>
    </row>
    <row r="34" spans="1:13" x14ac:dyDescent="0.25">
      <c r="A34" t="s">
        <v>319</v>
      </c>
      <c r="B34">
        <v>121</v>
      </c>
      <c r="C34">
        <v>1</v>
      </c>
      <c r="D34">
        <v>1</v>
      </c>
      <c r="E34">
        <v>1</v>
      </c>
      <c r="F34">
        <v>1</v>
      </c>
      <c r="G34">
        <v>1</v>
      </c>
      <c r="H34">
        <v>85.9</v>
      </c>
      <c r="I34">
        <v>8.59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 t="s">
        <v>320</v>
      </c>
      <c r="B35">
        <v>151</v>
      </c>
      <c r="C35">
        <v>1</v>
      </c>
      <c r="D35">
        <v>1</v>
      </c>
      <c r="E35">
        <v>1</v>
      </c>
      <c r="F35">
        <v>1</v>
      </c>
      <c r="G35">
        <v>1</v>
      </c>
      <c r="H35">
        <v>231</v>
      </c>
      <c r="I35">
        <v>23.1</v>
      </c>
      <c r="J35">
        <v>0</v>
      </c>
      <c r="K35">
        <v>0</v>
      </c>
      <c r="L35">
        <v>0</v>
      </c>
      <c r="M35">
        <v>0</v>
      </c>
    </row>
    <row r="36" spans="1:13" x14ac:dyDescent="0.25">
      <c r="A36" t="s">
        <v>321</v>
      </c>
      <c r="B36">
        <v>152</v>
      </c>
      <c r="C36">
        <v>1</v>
      </c>
      <c r="D36">
        <v>1</v>
      </c>
      <c r="E36">
        <v>1</v>
      </c>
      <c r="F36">
        <v>1</v>
      </c>
      <c r="G36">
        <v>1</v>
      </c>
      <c r="H36">
        <v>231</v>
      </c>
      <c r="I36">
        <v>23.1</v>
      </c>
      <c r="J36">
        <v>0</v>
      </c>
      <c r="K36">
        <v>0</v>
      </c>
      <c r="L36">
        <v>0</v>
      </c>
      <c r="M36">
        <v>0</v>
      </c>
    </row>
    <row r="37" spans="1:13" x14ac:dyDescent="0.25">
      <c r="A37" t="s">
        <v>322</v>
      </c>
      <c r="B37">
        <v>171</v>
      </c>
      <c r="C37">
        <v>1</v>
      </c>
      <c r="D37">
        <v>1</v>
      </c>
      <c r="E37">
        <v>1</v>
      </c>
      <c r="F37">
        <v>1</v>
      </c>
      <c r="G37">
        <v>1</v>
      </c>
      <c r="H37">
        <v>114.8</v>
      </c>
      <c r="I37">
        <v>11.48</v>
      </c>
      <c r="J37">
        <v>0</v>
      </c>
      <c r="K37">
        <v>0</v>
      </c>
      <c r="L37">
        <v>0</v>
      </c>
      <c r="M37">
        <v>0</v>
      </c>
    </row>
    <row r="38" spans="1:13" x14ac:dyDescent="0.25">
      <c r="A38" t="s">
        <v>323</v>
      </c>
      <c r="B38">
        <v>173</v>
      </c>
      <c r="C38">
        <v>1</v>
      </c>
      <c r="D38">
        <v>1</v>
      </c>
      <c r="E38">
        <v>1</v>
      </c>
      <c r="F38">
        <v>1</v>
      </c>
      <c r="G38">
        <v>1</v>
      </c>
      <c r="H38">
        <v>27.9</v>
      </c>
      <c r="I38">
        <v>2.79</v>
      </c>
      <c r="J38">
        <v>0</v>
      </c>
      <c r="K38">
        <v>0</v>
      </c>
      <c r="L38">
        <v>0</v>
      </c>
      <c r="M38">
        <v>0</v>
      </c>
    </row>
    <row r="39" spans="1:13" x14ac:dyDescent="0.25">
      <c r="A39" t="s">
        <v>324</v>
      </c>
      <c r="B39">
        <v>174</v>
      </c>
      <c r="C39">
        <v>1</v>
      </c>
      <c r="D39">
        <v>1</v>
      </c>
      <c r="E39">
        <v>1</v>
      </c>
      <c r="F39">
        <v>1</v>
      </c>
      <c r="G39">
        <v>1</v>
      </c>
      <c r="H39">
        <v>28</v>
      </c>
      <c r="I39">
        <v>2.8</v>
      </c>
      <c r="J39">
        <v>0</v>
      </c>
      <c r="K39">
        <v>0</v>
      </c>
      <c r="L39">
        <v>0</v>
      </c>
      <c r="M39">
        <v>0</v>
      </c>
    </row>
    <row r="40" spans="1:13" x14ac:dyDescent="0.25">
      <c r="A40" t="s">
        <v>325</v>
      </c>
      <c r="B40">
        <v>183</v>
      </c>
      <c r="C40">
        <v>1</v>
      </c>
      <c r="D40">
        <v>1</v>
      </c>
      <c r="E40">
        <v>1</v>
      </c>
      <c r="F40">
        <v>1</v>
      </c>
      <c r="G40">
        <v>1</v>
      </c>
      <c r="H40">
        <v>11.1</v>
      </c>
      <c r="I40">
        <v>1.1100000000000001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t="s">
        <v>326</v>
      </c>
      <c r="B41">
        <v>183</v>
      </c>
      <c r="C41">
        <v>2</v>
      </c>
      <c r="D41">
        <v>1</v>
      </c>
      <c r="E41">
        <v>1</v>
      </c>
      <c r="F41">
        <v>1</v>
      </c>
      <c r="G41">
        <v>1</v>
      </c>
      <c r="H41">
        <v>11.1</v>
      </c>
      <c r="I41">
        <v>1.1100000000000001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327</v>
      </c>
      <c r="B42">
        <v>201</v>
      </c>
      <c r="C42">
        <v>1</v>
      </c>
      <c r="D42">
        <v>1</v>
      </c>
      <c r="E42">
        <v>1</v>
      </c>
      <c r="F42">
        <v>1</v>
      </c>
      <c r="G42">
        <v>1</v>
      </c>
      <c r="H42">
        <v>87.7</v>
      </c>
      <c r="I42">
        <v>8.77</v>
      </c>
      <c r="J42">
        <v>0</v>
      </c>
      <c r="K42">
        <v>0</v>
      </c>
      <c r="L42">
        <v>0</v>
      </c>
      <c r="M42">
        <v>0</v>
      </c>
    </row>
    <row r="43" spans="1:13" x14ac:dyDescent="0.25">
      <c r="A43" t="s">
        <v>328</v>
      </c>
      <c r="B43">
        <v>203</v>
      </c>
      <c r="C43">
        <v>1</v>
      </c>
      <c r="D43">
        <v>1</v>
      </c>
      <c r="E43">
        <v>1</v>
      </c>
      <c r="F43">
        <v>1</v>
      </c>
      <c r="G43">
        <v>1</v>
      </c>
      <c r="H43">
        <v>20</v>
      </c>
      <c r="I43">
        <v>2</v>
      </c>
      <c r="J43">
        <v>0</v>
      </c>
      <c r="K43">
        <v>0</v>
      </c>
      <c r="L43">
        <v>0</v>
      </c>
      <c r="M43">
        <v>0</v>
      </c>
    </row>
    <row r="44" spans="1:13" x14ac:dyDescent="0.25">
      <c r="A44" t="s">
        <v>329</v>
      </c>
      <c r="B44">
        <v>211</v>
      </c>
      <c r="C44">
        <v>1</v>
      </c>
      <c r="D44">
        <v>1</v>
      </c>
      <c r="E44">
        <v>1</v>
      </c>
      <c r="F44">
        <v>1</v>
      </c>
      <c r="G44">
        <v>1</v>
      </c>
      <c r="H44">
        <v>235.3</v>
      </c>
      <c r="I44">
        <v>23.53</v>
      </c>
      <c r="J44">
        <v>0</v>
      </c>
      <c r="K44">
        <v>0</v>
      </c>
      <c r="L44">
        <v>0</v>
      </c>
      <c r="M44">
        <v>0</v>
      </c>
    </row>
    <row r="45" spans="1:13" x14ac:dyDescent="0.25">
      <c r="A45" t="s">
        <v>330</v>
      </c>
      <c r="B45">
        <v>221</v>
      </c>
      <c r="C45">
        <v>1</v>
      </c>
      <c r="D45">
        <v>1</v>
      </c>
      <c r="E45">
        <v>1</v>
      </c>
      <c r="F45">
        <v>1</v>
      </c>
      <c r="G45">
        <v>1</v>
      </c>
      <c r="H45">
        <v>274.5</v>
      </c>
      <c r="I45">
        <v>27.45</v>
      </c>
      <c r="J45">
        <v>0</v>
      </c>
      <c r="K45">
        <v>0</v>
      </c>
      <c r="L45">
        <v>0</v>
      </c>
      <c r="M45">
        <v>0</v>
      </c>
    </row>
    <row r="46" spans="1:13" x14ac:dyDescent="0.25">
      <c r="A46" t="s">
        <v>331</v>
      </c>
      <c r="B46">
        <v>224</v>
      </c>
      <c r="C46">
        <v>1</v>
      </c>
      <c r="D46">
        <v>1</v>
      </c>
      <c r="E46">
        <v>1</v>
      </c>
      <c r="F46">
        <v>1</v>
      </c>
      <c r="G46">
        <v>1</v>
      </c>
      <c r="H46">
        <v>25.5</v>
      </c>
      <c r="I46">
        <v>2.5499999999999998</v>
      </c>
      <c r="J46">
        <v>0</v>
      </c>
      <c r="K46">
        <v>0</v>
      </c>
      <c r="L46">
        <v>0</v>
      </c>
      <c r="M46">
        <v>0</v>
      </c>
    </row>
    <row r="47" spans="1:13" x14ac:dyDescent="0.25">
      <c r="A47" t="s">
        <v>332</v>
      </c>
      <c r="B47">
        <v>232</v>
      </c>
      <c r="C47">
        <v>1</v>
      </c>
      <c r="D47">
        <v>1</v>
      </c>
      <c r="E47">
        <v>1</v>
      </c>
      <c r="F47">
        <v>1</v>
      </c>
      <c r="G47">
        <v>1</v>
      </c>
      <c r="H47">
        <v>10.7</v>
      </c>
      <c r="I47">
        <v>1.07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333</v>
      </c>
      <c r="B48">
        <v>241</v>
      </c>
      <c r="C48">
        <v>1</v>
      </c>
      <c r="D48">
        <v>1</v>
      </c>
      <c r="E48">
        <v>1</v>
      </c>
      <c r="F48">
        <v>1</v>
      </c>
      <c r="G48">
        <v>1</v>
      </c>
      <c r="H48">
        <v>10.5</v>
      </c>
      <c r="I48">
        <v>1.05</v>
      </c>
      <c r="J48">
        <v>0</v>
      </c>
      <c r="K48">
        <v>0</v>
      </c>
      <c r="L48">
        <v>0</v>
      </c>
      <c r="M48">
        <v>0</v>
      </c>
    </row>
    <row r="49" spans="1:13" x14ac:dyDescent="0.25">
      <c r="A49" t="s">
        <v>334</v>
      </c>
      <c r="B49">
        <v>242</v>
      </c>
      <c r="C49">
        <v>1</v>
      </c>
      <c r="D49">
        <v>1</v>
      </c>
      <c r="E49">
        <v>1</v>
      </c>
      <c r="F49">
        <v>1</v>
      </c>
      <c r="G49">
        <v>1</v>
      </c>
      <c r="H49">
        <v>10.6</v>
      </c>
      <c r="I49">
        <v>1.06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335</v>
      </c>
      <c r="B50">
        <v>251</v>
      </c>
      <c r="C50">
        <v>1</v>
      </c>
      <c r="D50">
        <v>1</v>
      </c>
      <c r="E50">
        <v>1</v>
      </c>
      <c r="F50">
        <v>1</v>
      </c>
      <c r="G50">
        <v>1</v>
      </c>
      <c r="H50">
        <v>21.7</v>
      </c>
      <c r="I50">
        <v>2.17</v>
      </c>
      <c r="J50">
        <v>0</v>
      </c>
      <c r="K50">
        <v>0</v>
      </c>
      <c r="L50">
        <v>0</v>
      </c>
      <c r="M50">
        <v>0</v>
      </c>
    </row>
    <row r="51" spans="1:13" x14ac:dyDescent="0.25">
      <c r="A51" t="s">
        <v>336</v>
      </c>
      <c r="B51">
        <v>262</v>
      </c>
      <c r="C51">
        <v>1</v>
      </c>
      <c r="D51">
        <v>1</v>
      </c>
      <c r="E51">
        <v>1</v>
      </c>
      <c r="F51">
        <v>1</v>
      </c>
      <c r="G51">
        <v>1</v>
      </c>
      <c r="H51">
        <v>2.8</v>
      </c>
      <c r="I51">
        <v>0.28000000000000003</v>
      </c>
      <c r="J51">
        <v>0</v>
      </c>
      <c r="K51">
        <v>0</v>
      </c>
      <c r="L51">
        <v>0</v>
      </c>
      <c r="M51">
        <v>0</v>
      </c>
    </row>
    <row r="52" spans="1:13" x14ac:dyDescent="0.25">
      <c r="A52" t="s">
        <v>337</v>
      </c>
      <c r="B52">
        <v>264</v>
      </c>
      <c r="C52">
        <v>1</v>
      </c>
      <c r="D52">
        <v>1</v>
      </c>
      <c r="E52">
        <v>1</v>
      </c>
      <c r="F52">
        <v>1</v>
      </c>
      <c r="G52">
        <v>1</v>
      </c>
      <c r="H52">
        <v>2.8</v>
      </c>
      <c r="I52">
        <v>0.28000000000000003</v>
      </c>
      <c r="J52">
        <v>0</v>
      </c>
      <c r="K52">
        <v>0</v>
      </c>
      <c r="L52">
        <v>0</v>
      </c>
      <c r="M52">
        <v>0</v>
      </c>
    </row>
    <row r="53" spans="1:13" x14ac:dyDescent="0.25">
      <c r="A53" t="s">
        <v>338</v>
      </c>
      <c r="B53">
        <v>272</v>
      </c>
      <c r="C53">
        <v>1</v>
      </c>
      <c r="D53">
        <v>1</v>
      </c>
      <c r="E53">
        <v>1</v>
      </c>
      <c r="F53">
        <v>1</v>
      </c>
      <c r="G53">
        <v>1</v>
      </c>
      <c r="H53">
        <v>1.8</v>
      </c>
      <c r="I53">
        <v>0.18</v>
      </c>
      <c r="J53">
        <v>0</v>
      </c>
      <c r="K53">
        <v>0</v>
      </c>
      <c r="L53">
        <v>0</v>
      </c>
      <c r="M53">
        <v>0</v>
      </c>
    </row>
    <row r="54" spans="1:13" x14ac:dyDescent="0.25">
      <c r="A54" t="s">
        <v>339</v>
      </c>
      <c r="B54">
        <v>273</v>
      </c>
      <c r="C54">
        <v>1</v>
      </c>
      <c r="D54">
        <v>1</v>
      </c>
      <c r="E54">
        <v>1</v>
      </c>
      <c r="F54">
        <v>1</v>
      </c>
      <c r="G54">
        <v>1</v>
      </c>
      <c r="H54">
        <v>3.6</v>
      </c>
      <c r="I54">
        <v>0.36</v>
      </c>
      <c r="J54">
        <v>0</v>
      </c>
      <c r="K54">
        <v>0</v>
      </c>
      <c r="L54">
        <v>0</v>
      </c>
      <c r="M54">
        <v>0</v>
      </c>
    </row>
    <row r="55" spans="1:13" x14ac:dyDescent="0.25">
      <c r="A55" t="s">
        <v>340</v>
      </c>
      <c r="B55">
        <v>282</v>
      </c>
      <c r="C55">
        <v>1</v>
      </c>
      <c r="D55">
        <v>1</v>
      </c>
      <c r="E55">
        <v>1</v>
      </c>
      <c r="F55">
        <v>1</v>
      </c>
      <c r="G55">
        <v>1</v>
      </c>
      <c r="H55">
        <v>27.3</v>
      </c>
      <c r="I55">
        <v>2.73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 t="s">
        <v>341</v>
      </c>
      <c r="B56">
        <v>281</v>
      </c>
      <c r="C56">
        <v>1</v>
      </c>
      <c r="D56">
        <v>1</v>
      </c>
      <c r="E56">
        <v>1</v>
      </c>
      <c r="F56">
        <v>1</v>
      </c>
      <c r="G56">
        <v>1</v>
      </c>
      <c r="H56">
        <v>35.6</v>
      </c>
      <c r="I56">
        <v>3.56</v>
      </c>
      <c r="J56">
        <v>0</v>
      </c>
      <c r="K56">
        <v>0</v>
      </c>
      <c r="L56">
        <v>0</v>
      </c>
      <c r="M56">
        <v>0</v>
      </c>
    </row>
    <row r="57" spans="1:13" x14ac:dyDescent="0.25">
      <c r="A57" t="s">
        <v>342</v>
      </c>
      <c r="B57">
        <v>283</v>
      </c>
      <c r="C57">
        <v>1</v>
      </c>
      <c r="D57">
        <v>1</v>
      </c>
      <c r="E57">
        <v>1</v>
      </c>
      <c r="F57">
        <v>1</v>
      </c>
      <c r="G57">
        <v>1</v>
      </c>
      <c r="H57">
        <v>36</v>
      </c>
      <c r="I57">
        <v>3.6</v>
      </c>
      <c r="J57">
        <v>0</v>
      </c>
      <c r="K57">
        <v>0</v>
      </c>
      <c r="L57">
        <v>0</v>
      </c>
      <c r="M57">
        <v>0</v>
      </c>
    </row>
    <row r="58" spans="1:13" x14ac:dyDescent="0.25">
      <c r="A58" t="s">
        <v>343</v>
      </c>
      <c r="B58">
        <v>291</v>
      </c>
      <c r="C58">
        <v>1</v>
      </c>
      <c r="D58">
        <v>1</v>
      </c>
      <c r="E58">
        <v>1</v>
      </c>
      <c r="F58">
        <v>1</v>
      </c>
      <c r="G58">
        <v>1</v>
      </c>
      <c r="H58">
        <v>5.3</v>
      </c>
      <c r="I58">
        <v>0.53</v>
      </c>
      <c r="J58">
        <v>0</v>
      </c>
      <c r="K58">
        <v>0</v>
      </c>
      <c r="L58">
        <v>0</v>
      </c>
      <c r="M58">
        <v>0</v>
      </c>
    </row>
    <row r="59" spans="1:13" x14ac:dyDescent="0.25">
      <c r="A59" t="s">
        <v>344</v>
      </c>
      <c r="B59">
        <v>292</v>
      </c>
      <c r="C59">
        <v>1</v>
      </c>
      <c r="D59">
        <v>1</v>
      </c>
      <c r="E59">
        <v>1</v>
      </c>
      <c r="F59">
        <v>1</v>
      </c>
      <c r="G59">
        <v>1</v>
      </c>
      <c r="H59">
        <v>5.3</v>
      </c>
      <c r="I59">
        <v>0.53</v>
      </c>
      <c r="J59">
        <v>0</v>
      </c>
      <c r="K59">
        <v>0</v>
      </c>
      <c r="L59">
        <v>0</v>
      </c>
      <c r="M59">
        <v>0</v>
      </c>
    </row>
    <row r="61" spans="1:13" x14ac:dyDescent="0.25">
      <c r="H61">
        <f>SUM(H2:H59)</f>
        <v>4319.3000000000029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9"/>
  <sheetViews>
    <sheetView topLeftCell="B1" workbookViewId="0">
      <selection activeCell="B44" sqref="B44"/>
    </sheetView>
  </sheetViews>
  <sheetFormatPr defaultRowHeight="13.2" x14ac:dyDescent="0.25"/>
  <sheetData>
    <row r="1" spans="1:15" x14ac:dyDescent="0.25">
      <c r="A1" t="s">
        <v>91</v>
      </c>
      <c r="B1" t="s">
        <v>265</v>
      </c>
      <c r="C1" t="s">
        <v>239</v>
      </c>
      <c r="D1" t="s">
        <v>96</v>
      </c>
      <c r="E1" t="s">
        <v>266</v>
      </c>
      <c r="F1" t="s">
        <v>267</v>
      </c>
      <c r="G1" t="s">
        <v>268</v>
      </c>
      <c r="H1" t="s">
        <v>269</v>
      </c>
      <c r="I1" t="s">
        <v>270</v>
      </c>
      <c r="J1" t="s">
        <v>271</v>
      </c>
      <c r="K1" t="s">
        <v>272</v>
      </c>
      <c r="L1" t="s">
        <v>273</v>
      </c>
      <c r="M1" t="s">
        <v>1</v>
      </c>
      <c r="N1" t="s">
        <v>1</v>
      </c>
      <c r="O1" t="s">
        <v>1</v>
      </c>
    </row>
    <row r="2" spans="1:15" x14ac:dyDescent="0.25">
      <c r="A2" t="s">
        <v>274</v>
      </c>
      <c r="B2">
        <v>1</v>
      </c>
      <c r="C2">
        <v>51</v>
      </c>
      <c r="D2" t="s">
        <v>275</v>
      </c>
      <c r="E2" t="s">
        <v>138</v>
      </c>
      <c r="F2">
        <v>0</v>
      </c>
      <c r="G2">
        <v>100</v>
      </c>
      <c r="H2">
        <v>1</v>
      </c>
      <c r="I2">
        <v>1</v>
      </c>
      <c r="J2">
        <v>50</v>
      </c>
      <c r="K2">
        <v>1</v>
      </c>
      <c r="L2">
        <v>50</v>
      </c>
    </row>
    <row r="3" spans="1:15" x14ac:dyDescent="0.25">
      <c r="A3" t="s">
        <v>274</v>
      </c>
      <c r="B3">
        <v>0</v>
      </c>
      <c r="C3">
        <v>51</v>
      </c>
      <c r="D3" t="s">
        <v>275</v>
      </c>
      <c r="E3" t="s">
        <v>138</v>
      </c>
      <c r="F3">
        <v>0</v>
      </c>
      <c r="G3">
        <v>100</v>
      </c>
      <c r="H3">
        <v>1</v>
      </c>
      <c r="I3">
        <v>1</v>
      </c>
      <c r="J3">
        <v>50</v>
      </c>
      <c r="K3">
        <v>1</v>
      </c>
      <c r="L3">
        <v>50</v>
      </c>
    </row>
    <row r="4" spans="1:15" x14ac:dyDescent="0.25">
      <c r="A4" t="s">
        <v>276</v>
      </c>
      <c r="B4">
        <v>0</v>
      </c>
      <c r="C4">
        <v>81</v>
      </c>
      <c r="D4" t="s">
        <v>275</v>
      </c>
      <c r="E4" t="s">
        <v>138</v>
      </c>
      <c r="F4">
        <v>0</v>
      </c>
      <c r="G4">
        <v>100</v>
      </c>
      <c r="H4">
        <v>1</v>
      </c>
      <c r="I4">
        <v>1</v>
      </c>
      <c r="J4">
        <v>21</v>
      </c>
      <c r="K4">
        <v>1</v>
      </c>
      <c r="L4">
        <v>21</v>
      </c>
    </row>
    <row r="5" spans="1:15" x14ac:dyDescent="0.25">
      <c r="A5" t="s">
        <v>276</v>
      </c>
      <c r="B5">
        <v>0</v>
      </c>
      <c r="C5">
        <v>81</v>
      </c>
      <c r="D5" t="s">
        <v>275</v>
      </c>
      <c r="E5" t="s">
        <v>138</v>
      </c>
      <c r="F5">
        <v>0</v>
      </c>
      <c r="G5">
        <v>100</v>
      </c>
      <c r="H5">
        <v>1</v>
      </c>
      <c r="I5">
        <v>1</v>
      </c>
      <c r="J5">
        <v>21</v>
      </c>
      <c r="K5">
        <v>1</v>
      </c>
      <c r="L5">
        <v>10</v>
      </c>
    </row>
    <row r="6" spans="1:15" x14ac:dyDescent="0.25">
      <c r="A6" t="s">
        <v>277</v>
      </c>
      <c r="B6">
        <v>1</v>
      </c>
      <c r="C6">
        <v>242</v>
      </c>
      <c r="D6" t="s">
        <v>275</v>
      </c>
      <c r="E6" t="s">
        <v>138</v>
      </c>
      <c r="F6">
        <v>0</v>
      </c>
      <c r="G6">
        <v>100</v>
      </c>
      <c r="H6">
        <v>1</v>
      </c>
      <c r="I6">
        <v>1</v>
      </c>
      <c r="J6">
        <v>50</v>
      </c>
      <c r="K6">
        <v>1</v>
      </c>
      <c r="L6">
        <v>50</v>
      </c>
    </row>
    <row r="7" spans="1:15" x14ac:dyDescent="0.25">
      <c r="A7" t="s">
        <v>277</v>
      </c>
      <c r="B7">
        <v>0</v>
      </c>
      <c r="C7">
        <v>242</v>
      </c>
      <c r="D7" t="s">
        <v>275</v>
      </c>
      <c r="E7" t="s">
        <v>138</v>
      </c>
      <c r="F7">
        <v>0</v>
      </c>
      <c r="G7">
        <v>100</v>
      </c>
      <c r="H7">
        <v>1</v>
      </c>
      <c r="I7">
        <v>1</v>
      </c>
      <c r="J7">
        <v>50</v>
      </c>
      <c r="K7">
        <v>1</v>
      </c>
      <c r="L7">
        <v>50</v>
      </c>
    </row>
    <row r="8" spans="1:15" x14ac:dyDescent="0.25">
      <c r="A8" t="s">
        <v>278</v>
      </c>
      <c r="B8">
        <v>0</v>
      </c>
      <c r="C8">
        <v>282</v>
      </c>
      <c r="D8" t="s">
        <v>275</v>
      </c>
      <c r="E8" t="s">
        <v>138</v>
      </c>
      <c r="F8">
        <v>0</v>
      </c>
      <c r="G8">
        <v>100</v>
      </c>
      <c r="H8">
        <v>1</v>
      </c>
      <c r="I8">
        <v>1</v>
      </c>
      <c r="J8">
        <v>50</v>
      </c>
      <c r="K8">
        <v>1</v>
      </c>
      <c r="L8">
        <v>50</v>
      </c>
    </row>
    <row r="9" spans="1:15" x14ac:dyDescent="0.25">
      <c r="A9" t="s">
        <v>279</v>
      </c>
      <c r="B9">
        <v>1</v>
      </c>
      <c r="C9">
        <v>262</v>
      </c>
      <c r="D9" t="s">
        <v>275</v>
      </c>
      <c r="E9" t="s">
        <v>138</v>
      </c>
      <c r="F9">
        <v>0</v>
      </c>
      <c r="G9">
        <v>100</v>
      </c>
      <c r="H9">
        <v>1</v>
      </c>
      <c r="I9">
        <v>1</v>
      </c>
      <c r="J9">
        <v>-30</v>
      </c>
      <c r="K9">
        <v>1</v>
      </c>
      <c r="L9">
        <v>-30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Control</vt:lpstr>
      <vt:lpstr>Contingencies</vt:lpstr>
      <vt:lpstr>CAOutput</vt:lpstr>
      <vt:lpstr>LineFlows</vt:lpstr>
      <vt:lpstr>TransFlows</vt:lpstr>
      <vt:lpstr>Buses</vt:lpstr>
      <vt:lpstr>Machines</vt:lpstr>
      <vt:lpstr>Lines</vt:lpstr>
      <vt:lpstr>Transformers</vt:lpstr>
      <vt:lpstr>Loads</vt:lpstr>
      <vt:lpstr>Switched Shunts</vt:lpstr>
    </vt:vector>
  </TitlesOfParts>
  <Company>Incremental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 Podmore</dc:creator>
  <cp:lastModifiedBy>Robin</cp:lastModifiedBy>
  <dcterms:created xsi:type="dcterms:W3CDTF">2009-02-13T03:29:01Z</dcterms:created>
  <dcterms:modified xsi:type="dcterms:W3CDTF">2013-05-15T16:54:23Z</dcterms:modified>
</cp:coreProperties>
</file>